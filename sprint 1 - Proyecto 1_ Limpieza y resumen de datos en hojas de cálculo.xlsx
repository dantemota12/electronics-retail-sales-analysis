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_Originales" sheetId="1" r:id="rId4"/>
    <sheet state="visible" name="Datos_Limpios" sheetId="2" r:id="rId5"/>
    <sheet state="visible" name="Análisis " sheetId="3" r:id="rId6"/>
    <sheet state="visible" name="Visualizaciones " sheetId="4" r:id="rId7"/>
    <sheet state="visible" name="Informe_Ejecutivo " sheetId="5" r:id="rId8"/>
    <sheet state="visible" name="TD_Ventas_por_Categorias" sheetId="6" r:id="rId9"/>
    <sheet state="visible" name="TD_Ventas_por_Ciudad" sheetId="7" r:id="rId10"/>
    <sheet state="visible" name="TD_Ventas_Mensuales" sheetId="8" r:id="rId11"/>
    <sheet state="visible" name="TD_Promedio_Categoria" sheetId="9" r:id="rId12"/>
  </sheets>
  <definedNames>
    <definedName hidden="1" localSheetId="1" name="_xlnm._FilterDatabase">Datos_Limpios!$A$1:$L$754</definedName>
  </definedNames>
  <calcPr/>
  <pivotCaches>
    <pivotCache cacheId="0" r:id="rId13"/>
    <pivotCache cacheId="1" r:id="rId14"/>
    <pivotCache cacheId="2" r:id="rId15"/>
  </pivotCaches>
  <extLst>
    <ext uri="GoogleSheetsCustomDataVersion2">
      <go:sheetsCustomData xmlns:go="http://customooxmlschemas.google.com/" r:id="rId16" roundtripDataChecksum="Al4mrdE6U+n0ImiwPjHPVAzAf7V74Huk6shAL0greXw="/>
    </ext>
  </extLst>
</workbook>
</file>

<file path=xl/sharedStrings.xml><?xml version="1.0" encoding="utf-8"?>
<sst xmlns="http://schemas.openxmlformats.org/spreadsheetml/2006/main" count="9150" uniqueCount="2412">
  <si>
    <t>Fecha de venta</t>
  </si>
  <si>
    <t>Ciudad</t>
  </si>
  <si>
    <t>Producto</t>
  </si>
  <si>
    <t>Precio unitario</t>
  </si>
  <si>
    <t>Cantidad</t>
  </si>
  <si>
    <t>Monto total</t>
  </si>
  <si>
    <t>Cliente</t>
  </si>
  <si>
    <t>Email</t>
  </si>
  <si>
    <t>ID de orden</t>
  </si>
  <si>
    <t>monterrey</t>
  </si>
  <si>
    <t>Tablet-Estándar-8GB</t>
  </si>
  <si>
    <t>Rebeca Salvador Gamez García</t>
  </si>
  <si>
    <t>qcovarrubias@hotmail.com</t>
  </si>
  <si>
    <t>53a9e98d-d57a-488e-bcec-701bc4e1ec3e</t>
  </si>
  <si>
    <t>bogotá</t>
  </si>
  <si>
    <t>Auriculares-Con cable-32GB</t>
  </si>
  <si>
    <t>Evelio Ramiro Arce</t>
  </si>
  <si>
    <t>gaytansergio@navarro.info</t>
  </si>
  <si>
    <t>10c739f0-f7fb-4c8e-a239-ed1f5c295465</t>
  </si>
  <si>
    <t>Sandra Baez</t>
  </si>
  <si>
    <t>maria-teresamanzanares@jaquez.com</t>
  </si>
  <si>
    <t>d7c9e19e-1228-4326-8b2a-cde42e222a67</t>
  </si>
  <si>
    <t>Tablet-Estándar-16GB</t>
  </si>
  <si>
    <t>Uriel Helena Caldera</t>
  </si>
  <si>
    <t>pizarrojaqueline@acuna-moreno.com</t>
  </si>
  <si>
    <t>91de2837-a873-4607-8185-7fa6844d2be8</t>
  </si>
  <si>
    <t>Wendolin Jeronimo Farías</t>
  </si>
  <si>
    <t>yterrazas@hotmail.com</t>
  </si>
  <si>
    <t>4cfd7c38-6607-4b36-ab60-fb259d4e18b4</t>
  </si>
  <si>
    <t>Ciudad de Mexico</t>
  </si>
  <si>
    <t>Teléfono-Gama alta-32GB</t>
  </si>
  <si>
    <t>Esteban Ureña</t>
  </si>
  <si>
    <t>gvazquez@burgos.com</t>
  </si>
  <si>
    <t>a4da2665-dfb9-46f3-b658-cc5d0505dd86</t>
  </si>
  <si>
    <t>Medellín</t>
  </si>
  <si>
    <t>Tablet-Pro-4GB</t>
  </si>
  <si>
    <t>Aida Ojeda Galindo</t>
  </si>
  <si>
    <t>concepcion88@hotmail.com</t>
  </si>
  <si>
    <t>8d23f99e-11a9-4194-979d-e2f334eec6fa</t>
  </si>
  <si>
    <t>Auriculares-Con cable-8GB</t>
  </si>
  <si>
    <t>Cristal Luis Manuel Sanchez</t>
  </si>
  <si>
    <t>rocioescalante@hotmail.com</t>
  </si>
  <si>
    <t>a895a20b-523d-4f9e-a3e5-039259362c4f</t>
  </si>
  <si>
    <t>Daniela Padron</t>
  </si>
  <si>
    <t>dromero@industrias.info</t>
  </si>
  <si>
    <t>14722e2a-7971-43ee-ac45-587157e6f198</t>
  </si>
  <si>
    <t>Lic. Elena Zepeda</t>
  </si>
  <si>
    <t>emiliovillegas@diaz-ulibarri.net</t>
  </si>
  <si>
    <t>7424e9fb-eb47-4eb6-b0ee-330eb470b214</t>
  </si>
  <si>
    <t>Tablet-Estándar-32GB</t>
  </si>
  <si>
    <t>Cristal Rincon</t>
  </si>
  <si>
    <t>maria-teresaibarra@yahoo.com</t>
  </si>
  <si>
    <t>a4b8a935-59ba-43d2-9d68-660ee91a5acd</t>
  </si>
  <si>
    <t>Laptop-Oficina-8GB</t>
  </si>
  <si>
    <t>Francisca Lucas Jaimes Zavala</t>
  </si>
  <si>
    <t>baezjonas@proyectos.org</t>
  </si>
  <si>
    <t>9c8710a3-d9ef-4a00-9c0b-7c93d5fb8f63</t>
  </si>
  <si>
    <t>Guadalajara</t>
  </si>
  <si>
    <t>Auriculares-Bluetooth-4GB</t>
  </si>
  <si>
    <t>Elisa Soria</t>
  </si>
  <si>
    <t>guillerminacorral@yahoo.com</t>
  </si>
  <si>
    <t>eb72415a-2fdb-436d-a740-aa38fe92dba8</t>
  </si>
  <si>
    <t>Laptop-Ultraliviana-4GB</t>
  </si>
  <si>
    <t>Rosalia Alcantar</t>
  </si>
  <si>
    <t>luisamata@barajas-de.org</t>
  </si>
  <si>
    <t>a9fee7b5-3729-4db8-815f-355ff6236823</t>
  </si>
  <si>
    <t>Tablet-Estándar-4GB</t>
  </si>
  <si>
    <t>Fernando Marquez Almaraz</t>
  </si>
  <si>
    <t>benitezcarlota@yahoo.com</t>
  </si>
  <si>
    <t>1d366307-d6bd-4e44-b202-bab1ce141dbd</t>
  </si>
  <si>
    <t>Auriculares-Bluetooth-16GB</t>
  </si>
  <si>
    <t>Indira Guadalupe Montez Alcaraz</t>
  </si>
  <si>
    <t>brivera@club.com</t>
  </si>
  <si>
    <t>a076e80e-95f4-4b8d-8e0e-af032fd3e7e3</t>
  </si>
  <si>
    <t>CALI</t>
  </si>
  <si>
    <t>Tablet-Mini-32GB</t>
  </si>
  <si>
    <t>Ing. María José Noriega</t>
  </si>
  <si>
    <t>victor38@industrias.com</t>
  </si>
  <si>
    <t>55a4140a-ad3c-4b67-9d33-7eb275fe9440</t>
  </si>
  <si>
    <t>Laptop-Oficina-16GB</t>
  </si>
  <si>
    <t>Mtro. César Verduzco</t>
  </si>
  <si>
    <t>maria-elena87@proyectos.biz</t>
  </si>
  <si>
    <t>af1640cb-8d21-4be4-a497-cf19ebe3fa3e</t>
  </si>
  <si>
    <t>Teléfono-Gama media-32GB</t>
  </si>
  <si>
    <t>Ernesto Rendon</t>
  </si>
  <si>
    <t>nadame@hotmail.com</t>
  </si>
  <si>
    <t>7c7c5e94-04af-466b-bbd2-9ba60b16b6cc</t>
  </si>
  <si>
    <t>TULUM</t>
  </si>
  <si>
    <t>Laptop-Gaming-32GB</t>
  </si>
  <si>
    <t>Julio César Fernando Cordero</t>
  </si>
  <si>
    <t>fmontalvo@gmail.com</t>
  </si>
  <si>
    <t>fd56654c-43c9-4016-8183-cbdf6b382ba6</t>
  </si>
  <si>
    <t>Tablet-Mini-8GB</t>
  </si>
  <si>
    <t>Augusto Oswaldo Arce Guardado</t>
  </si>
  <si>
    <t>marcos44@yahoo.com</t>
  </si>
  <si>
    <t>b510688e-fa24-4654-b955-0b6adeee039e</t>
  </si>
  <si>
    <t>Maximiliano Omar Brito Vega</t>
  </si>
  <si>
    <t>julio50@hotmail.com</t>
  </si>
  <si>
    <t>99bc21fb-dcd1-48e4-be06-9bd0b762b73e</t>
  </si>
  <si>
    <t>Alejandra Najera Miramontes</t>
  </si>
  <si>
    <t>umadrigal@despacho.biz</t>
  </si>
  <si>
    <t>38daf333-0f89-435f-9b2d-a6d639ff33df</t>
  </si>
  <si>
    <t>Benjamín Marcela Lucero</t>
  </si>
  <si>
    <t>cresporaquel@yahoo.com</t>
  </si>
  <si>
    <t>cc9f2851-c332-405f-a3fb-1abae821a706</t>
  </si>
  <si>
    <t>Eloy Godoy del Río</t>
  </si>
  <si>
    <t>kveliz@gmail.com</t>
  </si>
  <si>
    <t>7ac1b8fd-c88f-4033-9061-4a7613449273</t>
  </si>
  <si>
    <t>Luis Manuel Ilse Apodaca</t>
  </si>
  <si>
    <t>ilse56@tapia-zavala.com</t>
  </si>
  <si>
    <t>a1cb1e10-0e31-479a-b8bb-5dc909b32b66</t>
  </si>
  <si>
    <t>Eugenio Juana Orta Chapa</t>
  </si>
  <si>
    <t>marco-antoniorosado@grupo.org</t>
  </si>
  <si>
    <t>3786d3a2-e035-4239-845a-3dce8eca0b61</t>
  </si>
  <si>
    <t>GUADALAJARA</t>
  </si>
  <si>
    <t>Teléfono-Gama baja-16GB</t>
  </si>
  <si>
    <t>Octavio Briseño Corrales</t>
  </si>
  <si>
    <t>antoniohernandez@gmail.com</t>
  </si>
  <si>
    <t>06092c99-a04c-49aa-b1e2-81711e255109</t>
  </si>
  <si>
    <t>Teléfono-Gama alta-8GB</t>
  </si>
  <si>
    <t>Patricio Puga</t>
  </si>
  <si>
    <t>maytecasares@yahoo.com</t>
  </si>
  <si>
    <t>428f89ef-5eb4-469e-b29a-14fcef36e9d3</t>
  </si>
  <si>
    <t>Tel√©fono-Gama media-8GB</t>
  </si>
  <si>
    <t>Antonio Adriana Razo</t>
  </si>
  <si>
    <t>reyesespartaco@hotmail.com</t>
  </si>
  <si>
    <t>c08f9ba9-0e32-4277-937a-eae40b912ab0</t>
  </si>
  <si>
    <t>Isabel Maya</t>
  </si>
  <si>
    <t>tozuna@yahoo.com</t>
  </si>
  <si>
    <t>e8070b1a-de24-4296-b9ca-c4d62784eb47</t>
  </si>
  <si>
    <t>Tablet-Pro-8GB</t>
  </si>
  <si>
    <t>Lic. Carlota Ontiveros</t>
  </si>
  <si>
    <t>francisco-javierzamudio@gmail.com</t>
  </si>
  <si>
    <t>19a6e9f7-0a45-4879-ab17-df6979e1e612</t>
  </si>
  <si>
    <t>Itzel Puente Téllez</t>
  </si>
  <si>
    <t>emontalvo@angulo.info</t>
  </si>
  <si>
    <t>e1d56019-1e10-4a1a-9dff-bff7048987d6</t>
  </si>
  <si>
    <t>Auriculares-Con cable-16GB</t>
  </si>
  <si>
    <t>Daniela Uribe</t>
  </si>
  <si>
    <t>qcolon@laureano-solorzano.net</t>
  </si>
  <si>
    <t>a1278508-c2d2-4e1a-9ab3-cd5dcc25c9cf</t>
  </si>
  <si>
    <t>Gustavo Berta Aragon</t>
  </si>
  <si>
    <t>del-riojuan@velasco.com</t>
  </si>
  <si>
    <t>afc92f17-61fe-4e4e-84c2-09515ccc8e07</t>
  </si>
  <si>
    <t xml:space="preserve">Teléfono-Gama alta-16GB </t>
  </si>
  <si>
    <t>Lorenzo Wendolin Méndez Gollum</t>
  </si>
  <si>
    <t>ffuentes@ochoa-molina.com</t>
  </si>
  <si>
    <t>116022d7-56fc-4596-aeba-30c58ab21dbf</t>
  </si>
  <si>
    <t>Serafín Samuel Tamayo Baez</t>
  </si>
  <si>
    <t>bruno78@vega.org</t>
  </si>
  <si>
    <t>c196a64f-ac47-4c79-b416-d0807432cfa3</t>
  </si>
  <si>
    <t>Laptop-Gaming-8GB</t>
  </si>
  <si>
    <t>Irene Domínguez</t>
  </si>
  <si>
    <t>estherpedroza@rojas-moya.info</t>
  </si>
  <si>
    <t>2ad918fa-d68e-42ea-926c-414454fd8220</t>
  </si>
  <si>
    <t>María Cristina Valdivia Mondragon</t>
  </si>
  <si>
    <t>porfirio68@corporacin.biz</t>
  </si>
  <si>
    <t>9fc06fba-9376-4e96-97f1-0aeca2f00a87</t>
  </si>
  <si>
    <t>Diego Fernandez</t>
  </si>
  <si>
    <t>sessa76@casarez.com</t>
  </si>
  <si>
    <t>d1068262-a372-42f4-b5e9-48fa9a84b933</t>
  </si>
  <si>
    <t>Laptop-Oficina-32GB</t>
  </si>
  <si>
    <t>Dolores Jesús Quiñonez Lebron</t>
  </si>
  <si>
    <t>nicolas17@gmail.com</t>
  </si>
  <si>
    <t>5c299656-4419-4c69-bdd2-2dc9b8af337b</t>
  </si>
  <si>
    <t>Auriculares-Bluetooth-32GB</t>
  </si>
  <si>
    <t>Karina Jeronimo Pérez Mojica</t>
  </si>
  <si>
    <t>mauro20@urrutia.net</t>
  </si>
  <si>
    <t>581770ae-84a5-4fc3-ba77-826c11cb3e70</t>
  </si>
  <si>
    <t>Teléfono-Gama baja-4GB</t>
  </si>
  <si>
    <t>Octavio Isabela Barraza</t>
  </si>
  <si>
    <t>irobles@gmail.com</t>
  </si>
  <si>
    <t>bb32f0ba-b764-401c-a691-3d59b0136679</t>
  </si>
  <si>
    <t>Mariano Fuentes Esquibel</t>
  </si>
  <si>
    <t>juana28@hotmail.com</t>
  </si>
  <si>
    <t>538c9408-8b8b-4785-b9f9-cd2657097173</t>
  </si>
  <si>
    <t>Asuncion Samaniego</t>
  </si>
  <si>
    <t>arellanoalfredo@gmail.com</t>
  </si>
  <si>
    <t>4e9e641c-a0d6-4903-8f6e-f87d90c24aa0</t>
  </si>
  <si>
    <t>Tablet-Mini-4GB</t>
  </si>
  <si>
    <t>Marcela Paez</t>
  </si>
  <si>
    <t>gabrieljaime@club.com</t>
  </si>
  <si>
    <t>e98e23f8-e415-4062-bdbb-4e90ecd252c4</t>
  </si>
  <si>
    <t>Auriculares-Cancelaci√≥n de ruido-16GB</t>
  </si>
  <si>
    <t>Alta  Gracia Alicia Guzman</t>
  </si>
  <si>
    <t>rosasgabriela@gmail.com</t>
  </si>
  <si>
    <t>88268205-0f39-4e9a-9353-1a9ee68c009c</t>
  </si>
  <si>
    <t>Laptop-Ultraliviana-16GB</t>
  </si>
  <si>
    <t>Rodrigo Vanegas Serna</t>
  </si>
  <si>
    <t>vicentezelaya@valdez.com</t>
  </si>
  <si>
    <t>426433ea-0410-4d24-b435-247c7b633415</t>
  </si>
  <si>
    <t>Luis Camila Guardado</t>
  </si>
  <si>
    <t>deborallamas@hotmail.com</t>
  </si>
  <si>
    <t>dca19bf4-3f5f-484c-bfdb-75c9ded28858</t>
  </si>
  <si>
    <t>Mtro. Rafaél Najera</t>
  </si>
  <si>
    <t>fernando51@yahoo.com</t>
  </si>
  <si>
    <t>7594ffab-c88c-40b4-b851-6897e6230fb0</t>
  </si>
  <si>
    <t>Clemente Lucas de la Crúz Florez</t>
  </si>
  <si>
    <t>miriam03@laboratorios.com</t>
  </si>
  <si>
    <t>306238f0-70d8-49c3-bc3f-5c9df03698bf</t>
  </si>
  <si>
    <t>Ing. Cecilia Gurule</t>
  </si>
  <si>
    <t>pulidoindira@industrias.org</t>
  </si>
  <si>
    <t>13857721-e31a-444e-a2c2-774566eb5f26</t>
  </si>
  <si>
    <t>Elias Juan Carlos Estévez Cepeda</t>
  </si>
  <si>
    <t>virginiameraz@yahoo.com</t>
  </si>
  <si>
    <t>a2d32009-f750-4260-8311-8300bd425ff8</t>
  </si>
  <si>
    <t>Alta  Gracia Marrero Ocasio</t>
  </si>
  <si>
    <t>leonardorosas@laboratorios.com</t>
  </si>
  <si>
    <t>fad038ce-1b32-4c25-85bc-38c2262677ee</t>
  </si>
  <si>
    <t>Esmeralda Bañuelos</t>
  </si>
  <si>
    <t>gdel-rio@proyectos.biz</t>
  </si>
  <si>
    <t>4a70ae74-59ef-4f8f-98ee-d8fff858e22d</t>
  </si>
  <si>
    <t>Angélica Bueno Olvera</t>
  </si>
  <si>
    <t>bernabe37@despacho.com</t>
  </si>
  <si>
    <t>9ffc235a-1e2b-44c3-80ec-61b7a7d4cbc5</t>
  </si>
  <si>
    <t>Teléfono-Gama media-4GB</t>
  </si>
  <si>
    <t>Roberto Casarez Lozada</t>
  </si>
  <si>
    <t>granadosaraceli@proyectos.net</t>
  </si>
  <si>
    <t>890c4fe3-a2aa-473b-a2ff-9c2704d3ac14</t>
  </si>
  <si>
    <t>Dr. Pedro Zapata</t>
  </si>
  <si>
    <t>ursulamenchaca@hotmail.com</t>
  </si>
  <si>
    <t>7413d048-5e1b-4043-9969-89781ce744b0</t>
  </si>
  <si>
    <t>Laptop-Gaming-16GB</t>
  </si>
  <si>
    <t>Mtro. Salma de la Garza</t>
  </si>
  <si>
    <t>ana-luisa49@otero.org</t>
  </si>
  <si>
    <t>40b3bbac-c623-4647-a606-b5af9a39c69f</t>
  </si>
  <si>
    <t>Laptop-Oficina-4GB</t>
  </si>
  <si>
    <t>Tania Soto Nieves</t>
  </si>
  <si>
    <t>jeronimovigil@hotmail.com</t>
  </si>
  <si>
    <t>af87cfff-afb0-4f85-888d-e5db29ae4766</t>
  </si>
  <si>
    <t>Tablet-Mini-16GB</t>
  </si>
  <si>
    <t>Leticia Luevano Mayorga</t>
  </si>
  <si>
    <t>orascon@corporacin.com</t>
  </si>
  <si>
    <t>f0548b33-86eb-4b3f-a1f4-cef9f9f11955</t>
  </si>
  <si>
    <t>Lic. Leonel Orosco</t>
  </si>
  <si>
    <t>dponce@verdugo.info</t>
  </si>
  <si>
    <t>972dd545-20a8-49a2-be8a-93f570eba58b</t>
  </si>
  <si>
    <t>Hernan Anguiano</t>
  </si>
  <si>
    <t>adriana27@hotmail.com</t>
  </si>
  <si>
    <t>6b47665a-5972-4a11-a9e7-d42e56cf42a4</t>
  </si>
  <si>
    <t>Dr. Yolanda Miranda</t>
  </si>
  <si>
    <t>oswaldo20@proyectos.net</t>
  </si>
  <si>
    <t>8e55023b-2774-4015-86a2-780e882c0d87</t>
  </si>
  <si>
    <t>Ing. Judith Ayala</t>
  </si>
  <si>
    <t>paolavergara@laboratorios.net</t>
  </si>
  <si>
    <t>64e8cb7b-f59e-470c-b704-3f79a8f2cc9e</t>
  </si>
  <si>
    <t>Carmen Rufino Téllez Benavides</t>
  </si>
  <si>
    <t>leonortoledo@solorzano.com</t>
  </si>
  <si>
    <t>dac843fc-5bc0-475f-a01e-8c48a965a9c2</t>
  </si>
  <si>
    <t>Wendolin Fonseca</t>
  </si>
  <si>
    <t>linda23@gmail.com</t>
  </si>
  <si>
    <t>fc8a05ee-e84e-44f7-96be-898033a352b4</t>
  </si>
  <si>
    <t>Auriculares-Bluetooth-8GB</t>
  </si>
  <si>
    <t>Mariano Leticia Palomino</t>
  </si>
  <si>
    <t>brunoflorez@hotmail.com</t>
  </si>
  <si>
    <t>c1103728-e36d-48da-ba95-42c7fc1ccca5</t>
  </si>
  <si>
    <t>Auriculares-Cancelación de ruido-8GB</t>
  </si>
  <si>
    <t>Veronica Wendolin Teran</t>
  </si>
  <si>
    <t>felipe81@espino.info</t>
  </si>
  <si>
    <t>6a83774a-e4f8-4c9b-ae75-2c985e801156</t>
  </si>
  <si>
    <t>Sandra Marisol Vergara</t>
  </si>
  <si>
    <t>casarezminerva@yahoo.com</t>
  </si>
  <si>
    <t>03d8d67d-53e4-43e8-bd00-72801ff4e987</t>
  </si>
  <si>
    <t>Sr(a). Julio César Collazo</t>
  </si>
  <si>
    <t>angel71@rincon-perea.com</t>
  </si>
  <si>
    <t>be245970-0c63-4d78-ae9d-e25f66cad9cf</t>
  </si>
  <si>
    <t>Mariana Jeronimo Partida Tejeda</t>
  </si>
  <si>
    <t>cristobal02@frias-mojica.biz</t>
  </si>
  <si>
    <t>50843e6d-c79e-434b-87b9-c3050b4bcc8f</t>
  </si>
  <si>
    <t>Teléfono-Gama baja-32GB</t>
  </si>
  <si>
    <t>Alma Galvan</t>
  </si>
  <si>
    <t>magdalena44@industrias.com</t>
  </si>
  <si>
    <t>bddbebd3-8d7c-4f54-b99a-707a32de78d9</t>
  </si>
  <si>
    <t>Lic. Santiago Montenegro</t>
  </si>
  <si>
    <t>onavarro@proyectos.com</t>
  </si>
  <si>
    <t>a65e1da8-d4c4-4925-b15a-eefb65f84daa</t>
  </si>
  <si>
    <t>Jorge Sepúlveda</t>
  </si>
  <si>
    <t>uferrer@gmail.com</t>
  </si>
  <si>
    <t>44eb6606-bfe9-426e-8e4f-c7683d27a64a</t>
  </si>
  <si>
    <t>Tablet-Pro-16GB</t>
  </si>
  <si>
    <t>Fernando Almanza Duran</t>
  </si>
  <si>
    <t>valmonte@gmail.com</t>
  </si>
  <si>
    <t>b033c422-b86e-4729-a448-c047ea02bb69</t>
  </si>
  <si>
    <t>Sr(a). Camilo Partida</t>
  </si>
  <si>
    <t>alfredocastro@oquendo.com</t>
  </si>
  <si>
    <t>c2384374-01f4-4848-97cd-a1327649abfe</t>
  </si>
  <si>
    <t>Ing. Ilse Ocasio</t>
  </si>
  <si>
    <t>abel08@laboratorios.com</t>
  </si>
  <si>
    <t>9fa9acba-1ca0-43da-be32-3ee4f9804f9e</t>
  </si>
  <si>
    <t>Teléfono-Gama alta-16GB</t>
  </si>
  <si>
    <t>José Manuél Indira Ledesma Treviño</t>
  </si>
  <si>
    <t>raquelyanez@hotmail.com</t>
  </si>
  <si>
    <t>b17b1651-8264-42dd-ac16-7674416db2f4</t>
  </si>
  <si>
    <t>Vanesa José Santana</t>
  </si>
  <si>
    <t>javierraya@hotmail.com</t>
  </si>
  <si>
    <t>165c0023-40a6-48a9-847c-8e2378c194fd</t>
  </si>
  <si>
    <t>Eloisa Orta</t>
  </si>
  <si>
    <t>yzedillo@despacho.org</t>
  </si>
  <si>
    <t>8f822140-8a36-4160-bf5d-68a254229e14</t>
  </si>
  <si>
    <t>Cristal Andrés Gomez</t>
  </si>
  <si>
    <t>villarebeca@gmail.com</t>
  </si>
  <si>
    <t>70a2c437-9cb0-4e0b-9cd5-ec6294260bb1</t>
  </si>
  <si>
    <t>Elena Ballesteros</t>
  </si>
  <si>
    <t>de-la-torrelorenzo@yahoo.com</t>
  </si>
  <si>
    <t>36cc47e7-ea9e-410e-ab8c-53adeed2d905</t>
  </si>
  <si>
    <t>Rocío Villareal</t>
  </si>
  <si>
    <t>roqueelsa@gmail.com</t>
  </si>
  <si>
    <t>6c3fead4-1fe5-4288-be37-3b39d5d98304</t>
  </si>
  <si>
    <t>Laptop-Ultraliviana-32GB</t>
  </si>
  <si>
    <t>Natividad Armenta Espino</t>
  </si>
  <si>
    <t>vcontreras@yahoo.com</t>
  </si>
  <si>
    <t>a7a8f827-451d-439f-95ca-6682c5127351</t>
  </si>
  <si>
    <t>Teléfono-Gama baja-8GB</t>
  </si>
  <si>
    <t>Aurora Esteban Sisneros Centeno</t>
  </si>
  <si>
    <t>soniapaez@laboratorios.com</t>
  </si>
  <si>
    <t>8dcb205e-e032-4baa-a658-7e640f07fe1e</t>
  </si>
  <si>
    <t>Tablet-Pro-32GB</t>
  </si>
  <si>
    <t>Lic. Abraham Guillen</t>
  </si>
  <si>
    <t>delgadogabino@hotmail.com</t>
  </si>
  <si>
    <t>0a037e7f-e874-4665-a3e4-734c560a30f9</t>
  </si>
  <si>
    <t>Sr(a). Aurelio Lemus</t>
  </si>
  <si>
    <t>garaymarco-antonio@gmail.com</t>
  </si>
  <si>
    <t>9cba1b15-28fd-439f-af54-d9a1bf7128b0</t>
  </si>
  <si>
    <t>Abel Emilio Robledo</t>
  </si>
  <si>
    <t>trevinoisaac@hotmail.com</t>
  </si>
  <si>
    <t>1a70ed1b-c3d7-4e03-b54a-3308b332ece5</t>
  </si>
  <si>
    <t>Mtro. Estela Villanueva</t>
  </si>
  <si>
    <t>salma61@gmail.com</t>
  </si>
  <si>
    <t>8cbf9f9b-f7d4-44ca-9484-0940e88fe51a</t>
  </si>
  <si>
    <t>Enrique Crespo Alvarez</t>
  </si>
  <si>
    <t>pamela41@grupo.com</t>
  </si>
  <si>
    <t>6321df0f-9103-4ad4-8571-120df4dd675b</t>
  </si>
  <si>
    <t>Víctor Jaramillo</t>
  </si>
  <si>
    <t>vallejogustavo@despacho.net</t>
  </si>
  <si>
    <t>cb4fece9-bf8f-4e7d-8218-b9d826729e46</t>
  </si>
  <si>
    <t>Asuncion Badillo</t>
  </si>
  <si>
    <t>carlota45@yahoo.com</t>
  </si>
  <si>
    <t>a279348c-c747-4e18-b056-f066a8c54d22</t>
  </si>
  <si>
    <t>Rosalia Florencia Contreras</t>
  </si>
  <si>
    <t>olverapamela@yahoo.com</t>
  </si>
  <si>
    <t>54ac59d8-1eda-4373-bd55-691a4a1a13f9</t>
  </si>
  <si>
    <t>Laptop-Ultraliviana-8GB</t>
  </si>
  <si>
    <t>Diego Armando Portillo</t>
  </si>
  <si>
    <t>rociopalomino@valenzuela.com</t>
  </si>
  <si>
    <t>278f1d63-6044-406a-b286-8ed51ce0b45a</t>
  </si>
  <si>
    <t>Dr. Diana Olivas</t>
  </si>
  <si>
    <t>vmesa@valdes-suarez.com</t>
  </si>
  <si>
    <t>f2f8a751-e6da-4e2b-b90b-7189fd4833ad</t>
  </si>
  <si>
    <t>Rufino Lucero Urrutia</t>
  </si>
  <si>
    <t>ncastaneda@rico.com</t>
  </si>
  <si>
    <t>f34bc8a2-d539-45c5-a4cb-e23ab3ad1bf9</t>
  </si>
  <si>
    <t>Fabiola Angélica Bravo</t>
  </si>
  <si>
    <t>correaestefania@yahoo.com</t>
  </si>
  <si>
    <t>76fde716-641c-4ff4-848c-ade7a38970de</t>
  </si>
  <si>
    <t>Lourdes Godoy Niño</t>
  </si>
  <si>
    <t>prietowendolin@abrego-mares.com</t>
  </si>
  <si>
    <t>8cfb7643-588b-4ac4-8843-ef2886b4bbea</t>
  </si>
  <si>
    <t>Guillermina Carbajal</t>
  </si>
  <si>
    <t>martincandelaria@hotmail.com</t>
  </si>
  <si>
    <t>f0d38b06-2059-47d6-9f56-aefc70f2727d</t>
  </si>
  <si>
    <t>Leonardo José Luis Manzanares Trujillo</t>
  </si>
  <si>
    <t>garenas@verduzco.org</t>
  </si>
  <si>
    <t>969772b7-82a9-4281-b808-f08dbacfaa54</t>
  </si>
  <si>
    <t>Abel Leticia Calderon Gallegos</t>
  </si>
  <si>
    <t>timoteo70@hotmail.com</t>
  </si>
  <si>
    <t>92461461-c9c6-41f5-ba8b-7e68bb7088ec</t>
  </si>
  <si>
    <t>Auriculares-Con cable-4GB</t>
  </si>
  <si>
    <t>Mauricio Pamela Villegas</t>
  </si>
  <si>
    <t>jeronimo36@proyectos.info</t>
  </si>
  <si>
    <t>041c1c21-48c4-49bf-8301-a26b4b366c97</t>
  </si>
  <si>
    <t>Teléfono-Gama media-16GB</t>
  </si>
  <si>
    <t>Josefina Zarate</t>
  </si>
  <si>
    <t>rosaliabatista@hurtado.com</t>
  </si>
  <si>
    <t>0db62a2e-44b2-4c21-8063-f5b1546b6955</t>
  </si>
  <si>
    <t>Olga Castillo Longoria</t>
  </si>
  <si>
    <t>cejaantonio@gmail.com</t>
  </si>
  <si>
    <t>8d1f42be-4310-48c3-951b-e030b1423297</t>
  </si>
  <si>
    <t>Sr(a). Luis Manuel Arriaga</t>
  </si>
  <si>
    <t>yenivaldes@quesada.com</t>
  </si>
  <si>
    <t>7fcd384b-a0e3-4e0f-a707-c4a8a1b4c112</t>
  </si>
  <si>
    <t>Antonio Jesús Vallejo Bravo</t>
  </si>
  <si>
    <t>uescalante@gmail.com</t>
  </si>
  <si>
    <t>3a57b856-992a-4aa3-a497-f62acef32235</t>
  </si>
  <si>
    <t>René Rafaél Rocha</t>
  </si>
  <si>
    <t>hugodel-rio@reyna.com</t>
  </si>
  <si>
    <t>21eb6780-a2cf-4959-81fd-6bec09658cd0</t>
  </si>
  <si>
    <t>Auriculares-Cancelación de ruido-4GB</t>
  </si>
  <si>
    <t>Rodrigo Aldonza Polanco</t>
  </si>
  <si>
    <t>borregomitzy@hotmail.com</t>
  </si>
  <si>
    <t>4b66bc0e-757f-46df-8fd9-af3d9751bd47</t>
  </si>
  <si>
    <t>José Luis Alarcon</t>
  </si>
  <si>
    <t>maximiliano11@garrido.com</t>
  </si>
  <si>
    <t>0d3db73a-8164-4ea7-82ec-bc976d02b86a</t>
  </si>
  <si>
    <t>Hermelinda Clemente Sisneros</t>
  </si>
  <si>
    <t>citlaliramos@roque-velasco.biz</t>
  </si>
  <si>
    <t>af40dcd7-913c-4661-9539-8e5b477bae0b</t>
  </si>
  <si>
    <t>Laptop-Gaming-4GB</t>
  </si>
  <si>
    <t>Javier Ofelia Quintanilla Villa</t>
  </si>
  <si>
    <t>sramirez@yahoo.com</t>
  </si>
  <si>
    <t>8a1ce3fb-e2c2-4c33-8f15-c428f8a97642</t>
  </si>
  <si>
    <t>Rufino Amador Ochoa</t>
  </si>
  <si>
    <t>anel99@hotmail.com</t>
  </si>
  <si>
    <t>731cae55-5431-4c89-89e4-ae12557b88e2</t>
  </si>
  <si>
    <t>Cristina Esteban Quintero</t>
  </si>
  <si>
    <t>francisca45@espinal.com</t>
  </si>
  <si>
    <t>fa85138f-7fb2-499a-acc2-02957ef92673</t>
  </si>
  <si>
    <t>Estefanía Modesto Lebron Figueroa</t>
  </si>
  <si>
    <t>mauriciogarcia@gmail.com</t>
  </si>
  <si>
    <t>13dacdaa-eb35-4a33-acaf-5c98625d9304</t>
  </si>
  <si>
    <t>Carlos Esteban Nieves Zarate</t>
  </si>
  <si>
    <t>enriqueaguirre@tamayo-roldan.com</t>
  </si>
  <si>
    <t>748ca89e-cc7c-4b74-9211-5c7153943bea</t>
  </si>
  <si>
    <t>Sr(a). David Preciado</t>
  </si>
  <si>
    <t>fheredia@amador.biz</t>
  </si>
  <si>
    <t>ef211983-e418-498f-bd94-b407618f19f2</t>
  </si>
  <si>
    <t>Bianca Ávalos Cantú</t>
  </si>
  <si>
    <t>hborrego@hotmail.com</t>
  </si>
  <si>
    <t>46208692-578c-41c7-a7ca-6da2fc87ff43</t>
  </si>
  <si>
    <t>Veronica Jurado Gonzales</t>
  </si>
  <si>
    <t>ivenegas@club.com</t>
  </si>
  <si>
    <t>c959873c-5ee3-4647-bd0b-df86bd37e523</t>
  </si>
  <si>
    <t>Dr. Estefanía Piña</t>
  </si>
  <si>
    <t>colladomercedes@yahoo.com</t>
  </si>
  <si>
    <t>a735a980-0215-4741-924f-a6525c85f916</t>
  </si>
  <si>
    <t>Alfredo Cintron</t>
  </si>
  <si>
    <t>felicianoirene@gmail.com</t>
  </si>
  <si>
    <t>298b36d0-dae0-4465-94e0-f5a242f44bd5</t>
  </si>
  <si>
    <t>Teléfono-Gama alta-4GB</t>
  </si>
  <si>
    <t>Daniel Campos</t>
  </si>
  <si>
    <t>jossolorzano@berrios.info</t>
  </si>
  <si>
    <t>826d9505-bc85-407f-95a3-b12b5fe5566b</t>
  </si>
  <si>
    <t>Olivia Zavala</t>
  </si>
  <si>
    <t>isabelmunguia@de.com</t>
  </si>
  <si>
    <t>1bb7ccf0-5ad1-49e5-831c-01f403e1e8ae</t>
  </si>
  <si>
    <t>Estela Zamora Téllez</t>
  </si>
  <si>
    <t>luisaquintanilla@regalado-tejeda.com</t>
  </si>
  <si>
    <t>8ce73f48-2cc5-4586-974b-db612bc9d6ae</t>
  </si>
  <si>
    <t>Eric Amador Santiago</t>
  </si>
  <si>
    <t>barrazaclaudia@hotmail.com</t>
  </si>
  <si>
    <t>b07b2920-9fbe-4a2c-ab22-d232c3ad228c</t>
  </si>
  <si>
    <t>Vanesa Valverde Gaona</t>
  </si>
  <si>
    <t>rodriguezluis@corporacin.com</t>
  </si>
  <si>
    <t>57a6f553-cfd0-401a-ab8d-e08db3b7b54c</t>
  </si>
  <si>
    <t>Lic. Alfredo Florez</t>
  </si>
  <si>
    <t>franciscaarredondo@club.com</t>
  </si>
  <si>
    <t>e17b8e31-1444-4e73-8d2e-98e479a23fab</t>
  </si>
  <si>
    <t>Alejandro Hermelinda Mondragon Alvarado</t>
  </si>
  <si>
    <t>tcamarillo@gmail.com</t>
  </si>
  <si>
    <t>a84bc74c-2d98-4331-a5a9-c762bb61fb2e</t>
  </si>
  <si>
    <t>Ing. Guadalupe Borrego</t>
  </si>
  <si>
    <t>isuarez@rodriguez.info</t>
  </si>
  <si>
    <t>a87e348f-adbc-474d-84ab-934239890915</t>
  </si>
  <si>
    <t>Carmen Macías</t>
  </si>
  <si>
    <t>zmelgar@corporacin.com</t>
  </si>
  <si>
    <t>d9c044d0-2d9f-4974-b4ef-0cbae299e695</t>
  </si>
  <si>
    <t>Sr(a). Manuel Torrez</t>
  </si>
  <si>
    <t>zbarajas@industrias.com</t>
  </si>
  <si>
    <t>ed2140fd-8a01-4a73-bd2d-02153d2e7f26</t>
  </si>
  <si>
    <t>Minerva Lorena Santana Botello</t>
  </si>
  <si>
    <t>cintronbernabe@grupo.biz</t>
  </si>
  <si>
    <t>1c3f2222-1db8-46db-876a-6f85812ebbbf</t>
  </si>
  <si>
    <t>Nadia Fernando Guerra Arroyo</t>
  </si>
  <si>
    <t>zedilloamador@yahoo.com</t>
  </si>
  <si>
    <t>78bdd5ec-2c8a-49c9-918e-bfe3147b65c3</t>
  </si>
  <si>
    <t>Abraham Loera Mondragon</t>
  </si>
  <si>
    <t>rosaliapizarro@narvaez.com</t>
  </si>
  <si>
    <t>05462222-2134-4569-8058-16e2b626c19b</t>
  </si>
  <si>
    <t>Mtro. Bianca Mayorga</t>
  </si>
  <si>
    <t>maganafabiola@hinojosa-meraz.com</t>
  </si>
  <si>
    <t>028c3012-bbb3-43aa-964f-69aba65f05aa</t>
  </si>
  <si>
    <t>Esperanza Victoria Rendon</t>
  </si>
  <si>
    <t>ortaasuncion@laboratorios.org</t>
  </si>
  <si>
    <t>b3ac9ad7-3336-45ee-8e9c-45dd90295e61</t>
  </si>
  <si>
    <t>Agustín Esparza</t>
  </si>
  <si>
    <t>octavio81@granados.biz</t>
  </si>
  <si>
    <t>a8f00c77-f3a2-4ae2-a236-7df93148023d</t>
  </si>
  <si>
    <t>Guillermina Bañuelos Varela</t>
  </si>
  <si>
    <t>lucasirizarry@corporacin.com</t>
  </si>
  <si>
    <t>b87357bf-0adf-494c-9fb2-d5fb5810088e</t>
  </si>
  <si>
    <t>Alejandro Tomas Arellano</t>
  </si>
  <si>
    <t>cfajardo@ferrer-candelaria.net</t>
  </si>
  <si>
    <t>1abba075-8634-44a4-b6c5-0ea6c8708df0</t>
  </si>
  <si>
    <t>Ana Perla Zavala Laboy</t>
  </si>
  <si>
    <t>benavidezgabino@hotmail.com</t>
  </si>
  <si>
    <t>972e7cf2-8e0a-43e6-a952-bbda3382870a</t>
  </si>
  <si>
    <t>Sr(a). Ricardo Velasco</t>
  </si>
  <si>
    <t>yeni97@hotmail.com</t>
  </si>
  <si>
    <t>ec133e61-2767-4fb0-ab9c-665b9e47a3d2</t>
  </si>
  <si>
    <t>Abril Julio Torrez Segovia</t>
  </si>
  <si>
    <t>xsaenz@hotmail.com</t>
  </si>
  <si>
    <t>0281b754-3298-47cb-85b3-b7e7a8c57bab</t>
  </si>
  <si>
    <t>Bruno Samuel Acosta Rascon</t>
  </si>
  <si>
    <t>irene40@bustos.info</t>
  </si>
  <si>
    <t>5eb46f68-93f4-40bf-ade8-2f3822a7d3fe</t>
  </si>
  <si>
    <t>Octavio Santacruz Lucero</t>
  </si>
  <si>
    <t>marisoldominguez@yahoo.com</t>
  </si>
  <si>
    <t>4473af02-2d6e-42ae-8fd6-1e6eb2b0c846</t>
  </si>
  <si>
    <t>Alma Mondragon Elizondo</t>
  </si>
  <si>
    <t>margarita66@hotmail.com</t>
  </si>
  <si>
    <t>a12e4ea3-c46c-4bfd-9028-7458aa0b25d1</t>
  </si>
  <si>
    <t>Omar Irene Corral</t>
  </si>
  <si>
    <t>agamboa@corporacin.com</t>
  </si>
  <si>
    <t>41fe435e-4e1c-498f-8112-8a52ebd37db7</t>
  </si>
  <si>
    <t xml:space="preserve">Laptop-Oficina-8GB </t>
  </si>
  <si>
    <t>Abelardo Héctor Brito Solorzano</t>
  </si>
  <si>
    <t>eugenia47@de.com</t>
  </si>
  <si>
    <t>ac86de05-18a9-4269-876c-d1c20900fd8f</t>
  </si>
  <si>
    <t>Julia Gonzalo Armendariz</t>
  </si>
  <si>
    <t>jose-manuelcazares@franco.org</t>
  </si>
  <si>
    <t>ce229233-81ec-4127-be94-95ce93175cd4</t>
  </si>
  <si>
    <t>Indira Eric Rentería Velazquez</t>
  </si>
  <si>
    <t>fduran@arredondo.com</t>
  </si>
  <si>
    <t>56137b69-5c0a-49a2-bc0e-cd99b52af4b9</t>
  </si>
  <si>
    <t>César Burgos Florez</t>
  </si>
  <si>
    <t>isaac34@aviles.biz</t>
  </si>
  <si>
    <t>15c161e7-84e8-482a-963e-a7e6326abc14</t>
  </si>
  <si>
    <t>Juan Lopez</t>
  </si>
  <si>
    <t>liliagonzalez@sanabria.info</t>
  </si>
  <si>
    <t>bda4c76c-8205-4def-8d46-9d2d6a40365e</t>
  </si>
  <si>
    <t>Omar Carla Miranda</t>
  </si>
  <si>
    <t>renato62@gmail.com</t>
  </si>
  <si>
    <t>39880590-7dce-48d2-a8b2-dcef91f42511</t>
  </si>
  <si>
    <t>Virginia Irma Rolon Arteaga</t>
  </si>
  <si>
    <t>juan-carlosporras@hotmail.com</t>
  </si>
  <si>
    <t>8961a6a3-8576-4db8-bcfd-98eaefa53976</t>
  </si>
  <si>
    <t>Pedro Tamayo</t>
  </si>
  <si>
    <t>indira48@gmail.com</t>
  </si>
  <si>
    <t>53b6bfd4-05a9-41c3-adeb-dfaa20821700</t>
  </si>
  <si>
    <t>Amanda Cantú Segura</t>
  </si>
  <si>
    <t>mercedes40@lozano-borrego.org</t>
  </si>
  <si>
    <t>51322ec3-e52c-417f-9f2c-20ffb25bf684</t>
  </si>
  <si>
    <t>Mtro. Flavio Teran</t>
  </si>
  <si>
    <t>merinovicente@hotmail.com</t>
  </si>
  <si>
    <t>59db14ef-c72f-4719-807c-e681756eb5ee</t>
  </si>
  <si>
    <t>Andrés Brito</t>
  </si>
  <si>
    <t>concepcion07@hotmail.com</t>
  </si>
  <si>
    <t>a05c93ff-9a7b-4d33-9591-f2fbfbc01017</t>
  </si>
  <si>
    <t>César Barrera Orta</t>
  </si>
  <si>
    <t>floresleonor@salcido-barrientos.info</t>
  </si>
  <si>
    <t>16c09f74-0932-405b-8587-0165634b10b3</t>
  </si>
  <si>
    <t>Jacobo Adan Aparicio Tejada</t>
  </si>
  <si>
    <t>indira44@maya.biz</t>
  </si>
  <si>
    <t>6bbde35c-e30d-4e24-884b-5b00ccf47e4b</t>
  </si>
  <si>
    <t>César Fabiola Palacios</t>
  </si>
  <si>
    <t>jose-emiliogamboa@laboratorios.biz</t>
  </si>
  <si>
    <t>0e28ad98-fe18-44a9-9a89-466a166843e3</t>
  </si>
  <si>
    <t>Patricio Narvaez Holguín</t>
  </si>
  <si>
    <t>tiradoberta@yahoo.com</t>
  </si>
  <si>
    <t>467ff27d-c3d7-4928-bade-34474e2a754a</t>
  </si>
  <si>
    <t>Israel Barragan</t>
  </si>
  <si>
    <t>barbara76@hotmail.com</t>
  </si>
  <si>
    <t>0cede563-5f38-42bf-93ca-f67930084cf1</t>
  </si>
  <si>
    <t>Ing. Elsa Prieto</t>
  </si>
  <si>
    <t>marisol14@maestas.com</t>
  </si>
  <si>
    <t>4143d835-b0c6-4920-b3a2-df5339be92e0</t>
  </si>
  <si>
    <t>Bianca Abel Valentín Alarcon</t>
  </si>
  <si>
    <t>mendezmonica@chacon.com</t>
  </si>
  <si>
    <t>6e634080-3cde-4f41-b8b8-f7a29d0086fa</t>
  </si>
  <si>
    <t>Emiliano Liliana Olivares Bañuelos</t>
  </si>
  <si>
    <t>eugenio20@yahoo.com</t>
  </si>
  <si>
    <t>5118c46e-3697-423d-b0f6-bcb15c09e38d</t>
  </si>
  <si>
    <t>Marcos Adriana Orosco Bétancourt</t>
  </si>
  <si>
    <t>franciscabonilla@yahoo.com</t>
  </si>
  <si>
    <t>673092af-8716-453b-88f4-efdc6f33c1e5</t>
  </si>
  <si>
    <t>Aldo Lira</t>
  </si>
  <si>
    <t>riveraleonardo@carrasco.com</t>
  </si>
  <si>
    <t>757f4440-b8cd-45b5-9b13-c97ac0e0b03c</t>
  </si>
  <si>
    <t>Delia Wilfrido Valladares Tapia</t>
  </si>
  <si>
    <t>dolores01@gmail.com</t>
  </si>
  <si>
    <t>ee97ba16-5d7f-4349-b9a0-cc9069b8707b</t>
  </si>
  <si>
    <t xml:space="preserve">Tablet-Mini-16GB </t>
  </si>
  <si>
    <t>Evelio Holguín Galarza</t>
  </si>
  <si>
    <t>aurelio09@fuentes.com</t>
  </si>
  <si>
    <t>2f004d71-2bd5-4fdb-a629-c4409dbaf7b8</t>
  </si>
  <si>
    <t>Gonzalo Cortés Nieto</t>
  </si>
  <si>
    <t>cabanmauricio@partida-barrios.net</t>
  </si>
  <si>
    <t>f175c4e2-a107-42a1-87d8-ae02bbeada76</t>
  </si>
  <si>
    <t>Tania José Salcedo</t>
  </si>
  <si>
    <t>german49@yahoo.com</t>
  </si>
  <si>
    <t>7c83c051-cdef-4ee9-99b8-ab628e7e0137</t>
  </si>
  <si>
    <t>Ignacio Leonor Guajardo</t>
  </si>
  <si>
    <t>florenciaescamilla@industrias.com</t>
  </si>
  <si>
    <t>2ecd07a3-c49e-486f-a9f0-9a7b1dc20737</t>
  </si>
  <si>
    <t>Ing. Vanesa Bustos</t>
  </si>
  <si>
    <t>ccintron@gmail.com</t>
  </si>
  <si>
    <t>7973d01c-f337-48a1-8f89-e3be9acd41ae</t>
  </si>
  <si>
    <t>Órsula Guardado</t>
  </si>
  <si>
    <t>pradooctavio@yahoo.com</t>
  </si>
  <si>
    <t>36046905-c325-4177-8dd6-ef3a3eefbe09</t>
  </si>
  <si>
    <t>Esperanza Domínguez</t>
  </si>
  <si>
    <t>eveliz@verdugo-covarrubias.com</t>
  </si>
  <si>
    <t>159a0e2b-f468-4295-9e69-b0d9dd79d890</t>
  </si>
  <si>
    <t>Sr(a). Carlota Torrez</t>
  </si>
  <si>
    <t>camilapuente@hotmail.com</t>
  </si>
  <si>
    <t>32958c32-9158-41e9-a53a-1fc911df997a</t>
  </si>
  <si>
    <t>Lilia Bétancourt Parra</t>
  </si>
  <si>
    <t>martha43@gmail.com</t>
  </si>
  <si>
    <t>5a5c3350-ddcf-484e-8349-4b078818dfc5</t>
  </si>
  <si>
    <t>Luisa Gilberto Trujillo</t>
  </si>
  <si>
    <t>rolando62@hotmail.com</t>
  </si>
  <si>
    <t>62a79a02-2ff5-4434-a42e-150fc8d403dd</t>
  </si>
  <si>
    <t>María Cristina Rebeca Quiñones Davila</t>
  </si>
  <si>
    <t>teresa90@yahoo.com</t>
  </si>
  <si>
    <t>a2820ce9-6172-4e14-acb4-dbc156430397</t>
  </si>
  <si>
    <t>Dalia María Cristina Robledo Escobar</t>
  </si>
  <si>
    <t>galvancamilo@santana-farias.com</t>
  </si>
  <si>
    <t>41cf07f1-c8b8-4719-8e87-4c6a66e4a90e</t>
  </si>
  <si>
    <t>Karina Galvez Duran</t>
  </si>
  <si>
    <t>navajose-eduardo@peralta.org</t>
  </si>
  <si>
    <t>39df2d77-4667-462c-a9a5-a4502b01e2af</t>
  </si>
  <si>
    <t>Nancy Horacio Porras</t>
  </si>
  <si>
    <t>karinajaimes@grupo.net</t>
  </si>
  <si>
    <t>6486d7e7-8b63-4036-a105-6f846c2be7ab</t>
  </si>
  <si>
    <t>Dr. Agustín Sandoval</t>
  </si>
  <si>
    <t>cornelio15@grupo.com</t>
  </si>
  <si>
    <t>1a1b2b13-06f4-45bf-a9e9-678df211aedf</t>
  </si>
  <si>
    <t>German Corral</t>
  </si>
  <si>
    <t>eloy50@despacho.com</t>
  </si>
  <si>
    <t>87c5ffd3-6c28-4101-af3b-154ff4ae6392</t>
  </si>
  <si>
    <t>German Leon</t>
  </si>
  <si>
    <t>xespinosa@maestas-zambrano.org</t>
  </si>
  <si>
    <t>d4f65876-1ffb-4376-ac69-30bc4a1f11d5</t>
  </si>
  <si>
    <t>Estela Tijerina</t>
  </si>
  <si>
    <t>guzmanalfonso@molina.com</t>
  </si>
  <si>
    <t>96edea28-2897-4637-85bd-60acc395c4c4</t>
  </si>
  <si>
    <t>Lic. Anel Cervantez</t>
  </si>
  <si>
    <t>casanovahugo@yahoo.com</t>
  </si>
  <si>
    <t>758acf48-c5d8-4ad9-8a21-e3e1440e091e</t>
  </si>
  <si>
    <t>Lic. Ignacio Corrales</t>
  </si>
  <si>
    <t>veronicagaona@yahoo.com</t>
  </si>
  <si>
    <t>68461278-65b9-41b1-b4b7-f73c4451f4cf</t>
  </si>
  <si>
    <t>Mariano Borrego</t>
  </si>
  <si>
    <t>galindoabelardo@hotmail.com</t>
  </si>
  <si>
    <t>45b0ad4b-932c-441b-b413-53565decfa94</t>
  </si>
  <si>
    <t>Barbara Perla Godínez</t>
  </si>
  <si>
    <t>yolandamontalvo@gmail.com</t>
  </si>
  <si>
    <t>1dada63c-2f5a-48d7-8e04-d26aacd30687</t>
  </si>
  <si>
    <t xml:space="preserve">Teléfono-Gama baja-32GB </t>
  </si>
  <si>
    <t>Veronica de Leon Covarrubias</t>
  </si>
  <si>
    <t>gzelaya@gmail.com</t>
  </si>
  <si>
    <t>0461093f-4c28-41d9-b8c1-8f858b8a8164</t>
  </si>
  <si>
    <t>Carmen Colunga</t>
  </si>
  <si>
    <t>cesar12@hotmail.com</t>
  </si>
  <si>
    <t>95e49e46-be39-496b-8a9b-52bd39505406</t>
  </si>
  <si>
    <t>Wendolin Elvia Osorio Gallardo</t>
  </si>
  <si>
    <t>camilareyes@yahoo.com</t>
  </si>
  <si>
    <t>b530707f-4d7d-4afc-bde4-e36c5328a487</t>
  </si>
  <si>
    <t>Sandra Cornelio Nava Galarza</t>
  </si>
  <si>
    <t>gaonagabriel@proyectos.org</t>
  </si>
  <si>
    <t>8a075c13-f70b-4b5b-909b-e961bf332236</t>
  </si>
  <si>
    <t>Eugenio Monica Reséndez</t>
  </si>
  <si>
    <t>rduarte@hotmail.com</t>
  </si>
  <si>
    <t>2acb1d18-6de4-4e08-ab0f-a43239b072ab</t>
  </si>
  <si>
    <t>Espartaco Godoy Fuentes</t>
  </si>
  <si>
    <t>natividad96@toro.biz</t>
  </si>
  <si>
    <t>ec823a46-e1bb-48d2-a563-9abba872b426</t>
  </si>
  <si>
    <t>Judith José María Menchaca Nieves</t>
  </si>
  <si>
    <t>anabelgalarza@gmail.com</t>
  </si>
  <si>
    <t>bf0d8fdb-9d95-48a0-8ea7-0981d07129f1</t>
  </si>
  <si>
    <t>Dr. Emilio Leiva</t>
  </si>
  <si>
    <t>mejiaricardo@yahoo.com</t>
  </si>
  <si>
    <t>9a710806-780e-4656-b1d2-a4266eab7458</t>
  </si>
  <si>
    <t>Auriculares-Cancelación de ruido-32GB</t>
  </si>
  <si>
    <t>Yeni Tafoya</t>
  </si>
  <si>
    <t>umata@despacho.com</t>
  </si>
  <si>
    <t>b8d7d438-42a6-490e-878a-eabf47bc2626</t>
  </si>
  <si>
    <t>Noemí Julia Zepeda</t>
  </si>
  <si>
    <t>gilalta-gracia@miramontes.com</t>
  </si>
  <si>
    <t>102bcf63-b887-46cb-8d4f-8c9404340da9</t>
  </si>
  <si>
    <t>Victoria Gurule</t>
  </si>
  <si>
    <t>acovarrubias@yahoo.com</t>
  </si>
  <si>
    <t>26d71239-8773-4f98-a147-880cc7ae84cb</t>
  </si>
  <si>
    <t>Dolores Minerva Frías Baeza</t>
  </si>
  <si>
    <t>maria-eugenia48@industrias.com</t>
  </si>
  <si>
    <t>08148c4c-9768-48b2-a627-96eb9c4ecb15</t>
  </si>
  <si>
    <t>Aldonza Arriaga</t>
  </si>
  <si>
    <t>benjaminguerra@yahoo.com</t>
  </si>
  <si>
    <t>2d413f59-b03c-479d-84d2-e6d17034f1ce</t>
  </si>
  <si>
    <t>Liliana Pedraza</t>
  </si>
  <si>
    <t>ninovictor@gmail.com</t>
  </si>
  <si>
    <t>8b0b8f3a-d8c5-47fe-9e94-09d8d82d6464</t>
  </si>
  <si>
    <t>Hilda Soto Serna</t>
  </si>
  <si>
    <t>eric39@gmail.com</t>
  </si>
  <si>
    <t>6658ba19-5ccb-4206-84b8-fcfc241901bd</t>
  </si>
  <si>
    <t>Jonas Corrales</t>
  </si>
  <si>
    <t>whuerta@cornejo.com</t>
  </si>
  <si>
    <t>5deb41b9-32d8-431b-91ea-ba2fc94ad0f0</t>
  </si>
  <si>
    <t>Berta Aldonza Toro Colunga</t>
  </si>
  <si>
    <t>merazoliver@yahoo.com</t>
  </si>
  <si>
    <t>b159a2a3-ef00-43a9-86db-5aa4f2337f02</t>
  </si>
  <si>
    <t>Mercedes Amanda Jurado Centeno</t>
  </si>
  <si>
    <t>bacaelvia@gmail.com</t>
  </si>
  <si>
    <t>fcfe31f4-1827-4f08-8c09-fac8682e5bbc</t>
  </si>
  <si>
    <t>Eric Lorenzo Raya</t>
  </si>
  <si>
    <t>francisco-javier56@gmail.com</t>
  </si>
  <si>
    <t>699048e6-5415-4dd4-ada9-8e6e4a549eb2</t>
  </si>
  <si>
    <t>José Carlos Soledad Osorio Rodrígez</t>
  </si>
  <si>
    <t>daliavillagomez@gmail.com</t>
  </si>
  <si>
    <t>ff0b4f20-17ed-4610-9fc5-30d4da7e79e4</t>
  </si>
  <si>
    <t>Lic. Mariana Urbina</t>
  </si>
  <si>
    <t>daniela26@hotmail.com</t>
  </si>
  <si>
    <t>cd9cf7e0-6da4-41df-8be9-2d02844b1c31</t>
  </si>
  <si>
    <t>Mateo Flavio Uribe García</t>
  </si>
  <si>
    <t>eesquibel@campos.info</t>
  </si>
  <si>
    <t>de92a9b2-739f-4ffe-aeb7-97d14d474602</t>
  </si>
  <si>
    <t>Manuel Ivan Alarcon Noriega</t>
  </si>
  <si>
    <t>claudia30@hotmail.com</t>
  </si>
  <si>
    <t>d513a436-d4fe-4ff3-8ec9-e92a32ed8cc7</t>
  </si>
  <si>
    <t>Agustín Rocha</t>
  </si>
  <si>
    <t>vparra@gmail.com</t>
  </si>
  <si>
    <t>bd82514d-6aed-4ca8-885d-60312b6b736b</t>
  </si>
  <si>
    <t>Luz Eduardo Villegas Leon</t>
  </si>
  <si>
    <t>wmontoya@yahoo.com</t>
  </si>
  <si>
    <t>9e5f6867-749d-4b5b-97ef-2330c2558d3d</t>
  </si>
  <si>
    <t>Lorenzo Zaragoza Niño</t>
  </si>
  <si>
    <t>yeni63@gmail.com</t>
  </si>
  <si>
    <t>afbe8b22-f099-435c-a4a9-2882252b6103</t>
  </si>
  <si>
    <t>Magdalena del Río Covarrubias</t>
  </si>
  <si>
    <t>xramirez@laboratorios.com</t>
  </si>
  <si>
    <t>df30a4f3-dbd9-408b-aef6-130263821f4b</t>
  </si>
  <si>
    <t>Nadia Ana María Merino Arteaga</t>
  </si>
  <si>
    <t>arico@almaraz-ontiveros.com</t>
  </si>
  <si>
    <t>446489c3-d916-48e8-af47-535cb42956ac</t>
  </si>
  <si>
    <t>Ing. Marcela Guzman</t>
  </si>
  <si>
    <t>dvillegas@despacho.com</t>
  </si>
  <si>
    <t>56344cb2-c22e-400d-87dd-49a631ced56f</t>
  </si>
  <si>
    <t>Marisol Espinosa Briones</t>
  </si>
  <si>
    <t>santacruzanel@hotmail.com</t>
  </si>
  <si>
    <t>1a50b4b1-1657-4b5e-a237-9cfb5c083efc</t>
  </si>
  <si>
    <t>Victoria Cabrera Armenta</t>
  </si>
  <si>
    <t>blancaromero@armenta-murillo.com</t>
  </si>
  <si>
    <t>bfe71cbd-5340-41ca-b9f4-c5301c10428f</t>
  </si>
  <si>
    <t>Paulina Garibay Gracia</t>
  </si>
  <si>
    <t>eugenio94@yahoo.com</t>
  </si>
  <si>
    <t>3c957274-31de-4637-8c46-828eb2c095e9</t>
  </si>
  <si>
    <t>Olga Evelio Solorio</t>
  </si>
  <si>
    <t>isabela60@hotmail.com</t>
  </si>
  <si>
    <t>a54ade2d-7062-4dcd-a41a-a92c117729ad</t>
  </si>
  <si>
    <t>Alfonso Alejandra Aguilera</t>
  </si>
  <si>
    <t>bfajardo@suarez.info</t>
  </si>
  <si>
    <t>c4d429ce-cdcb-4f2a-b91c-26eac3db495e</t>
  </si>
  <si>
    <t>Marcos Amador</t>
  </si>
  <si>
    <t>maria-eugeniairizarry@gmail.com</t>
  </si>
  <si>
    <t>75ce132e-b6d1-4542-be19-8b8ae4cfee4c</t>
  </si>
  <si>
    <t>Lic. Rosalia Martínez</t>
  </si>
  <si>
    <t>salma27@nieto-herrera.com</t>
  </si>
  <si>
    <t>862a25a8-b572-4c67-85cb-bdd2f7503da7</t>
  </si>
  <si>
    <t>Lic. Juan Ortega</t>
  </si>
  <si>
    <t>ignaciochacon@gmail.com</t>
  </si>
  <si>
    <t>03d30ca8-82a1-4711-a969-6585129ef1c6</t>
  </si>
  <si>
    <t>María Eugenia Guajardo Ayala</t>
  </si>
  <si>
    <t>cervanteshermelinda@godinez.net</t>
  </si>
  <si>
    <t>42eeb64c-1110-40be-a856-c0a364fb8c30</t>
  </si>
  <si>
    <t>Elvia Pulido Brito</t>
  </si>
  <si>
    <t>oscar45@tovar.info</t>
  </si>
  <si>
    <t>261825fa-a4ad-4a21-a7ab-e2b644eaa67a</t>
  </si>
  <si>
    <t>Leonel Ponce</t>
  </si>
  <si>
    <t>pazrocio@gmail.com</t>
  </si>
  <si>
    <t>fa9e790b-934a-4153-b8d1-cb8319d59c61</t>
  </si>
  <si>
    <t>Ignacio de la Garza</t>
  </si>
  <si>
    <t>rodolfolucio@gmail.com</t>
  </si>
  <si>
    <t>0e47c0df-dd8b-487b-8097-21c972837f36</t>
  </si>
  <si>
    <t>Martha Tamayo Niño</t>
  </si>
  <si>
    <t>zguardado@grupo.biz</t>
  </si>
  <si>
    <t>d220d617-88a5-417d-906a-713dd8d57f69</t>
  </si>
  <si>
    <t>Elsa Alonso Rivera</t>
  </si>
  <si>
    <t>ulucero@gmail.com</t>
  </si>
  <si>
    <t>656f3966-abb8-497a-981c-4e2bec529c24</t>
  </si>
  <si>
    <t>Concepcion Isabel Becerra del Valle</t>
  </si>
  <si>
    <t>rubencanales@hotmail.com</t>
  </si>
  <si>
    <t>a98bfa4e-dd81-401d-b806-a98b5c514056</t>
  </si>
  <si>
    <t>Zoé Claudia Barraza Cornejo</t>
  </si>
  <si>
    <t>elvirasepulveda@corporacin.com</t>
  </si>
  <si>
    <t>3341556d-8dc1-42f2-b455-3a339ff909cd</t>
  </si>
  <si>
    <t>Ing. Hernan Vallejo</t>
  </si>
  <si>
    <t>sernaemilia@yahoo.com</t>
  </si>
  <si>
    <t>f0291dc4-c15b-4bcc-97f0-04c50c8926f6</t>
  </si>
  <si>
    <t>María Cristina Raquel Carranza Orosco</t>
  </si>
  <si>
    <t>ernesto07@gmail.com</t>
  </si>
  <si>
    <t>3217ab5c-f143-443a-aece-3a47846a3ff2</t>
  </si>
  <si>
    <t>Violeta Celia Valverde</t>
  </si>
  <si>
    <t>silvano66@proyectos.com</t>
  </si>
  <si>
    <t>60d8025a-b531-49e9-a8a9-cc068cf74685</t>
  </si>
  <si>
    <t>Yolanda Rafaél Gamez</t>
  </si>
  <si>
    <t>saavedrafelipe@yahoo.com</t>
  </si>
  <si>
    <t>d9c1410d-a481-442e-a55e-c877ab1e7b3f</t>
  </si>
  <si>
    <t>Laura Vaca Madera</t>
  </si>
  <si>
    <t>gfranco@grupo.com</t>
  </si>
  <si>
    <t>0cf77e4b-7fd3-4462-8680-6cbd693e9c0f</t>
  </si>
  <si>
    <t>Hermelinda Mota</t>
  </si>
  <si>
    <t>quirozjose-maria@valdivia.biz</t>
  </si>
  <si>
    <t>46378c72-4067-4729-b1e5-3d39203ab930</t>
  </si>
  <si>
    <t>Ángel Aldo Tello Noriega</t>
  </si>
  <si>
    <t>rivascristian@grupo.com</t>
  </si>
  <si>
    <t>60961cdf-09a7-4a32-8c6c-2d05f517439d</t>
  </si>
  <si>
    <t>Mtro. Magdalena Morales</t>
  </si>
  <si>
    <t>catalina33@yahoo.com</t>
  </si>
  <si>
    <t>9d83faf6-b95d-4623-85a1-78d8b416dd3f</t>
  </si>
  <si>
    <t>Lorenzo Minerva Ocampo Aguilar</t>
  </si>
  <si>
    <t>qsolorzano@despacho.com</t>
  </si>
  <si>
    <t>7a66e4f7-bc95-4384-85ad-39070d893921</t>
  </si>
  <si>
    <t>Arcelia Nieves</t>
  </si>
  <si>
    <t>xalva@cazares-santillan.biz</t>
  </si>
  <si>
    <t>d5751f29-c753-47da-9e7a-d5ed1090b0ad</t>
  </si>
  <si>
    <t>Frida Alba</t>
  </si>
  <si>
    <t>carmen91@gonzales.org</t>
  </si>
  <si>
    <t>817537ef-9729-49a5-8458-d7108a639dab</t>
  </si>
  <si>
    <t>Mtro. Carmen Leyva</t>
  </si>
  <si>
    <t>reynadulce-maria@hotmail.com</t>
  </si>
  <si>
    <t>15d306a8-d422-44fb-9ae9-88cc0402b65d</t>
  </si>
  <si>
    <t>Alejandra Araceli Gutiérrez</t>
  </si>
  <si>
    <t>jtovar@trujillo-orellana.com</t>
  </si>
  <si>
    <t>0ada26be-f753-405b-a1a4-3599df81e700</t>
  </si>
  <si>
    <t>Jeronimo Julia Peralta</t>
  </si>
  <si>
    <t>mireleshector@vigil.com</t>
  </si>
  <si>
    <t>c499769d-908e-43f6-bd30-c1817bd0deff</t>
  </si>
  <si>
    <t>Sr(a). Vicente Ureña</t>
  </si>
  <si>
    <t>lsalas@grupo.org</t>
  </si>
  <si>
    <t>1c44a1fd-cb0c-401e-8e21-c1a8d9242148</t>
  </si>
  <si>
    <t>Ing. Alejandra Delgadillo</t>
  </si>
  <si>
    <t>casaresramon@hotmail.com</t>
  </si>
  <si>
    <t>bc02e752-e8f9-4729-a7cd-24ba1ff00164</t>
  </si>
  <si>
    <t>Antonio Juana Soria</t>
  </si>
  <si>
    <t>israel13@aviles.biz</t>
  </si>
  <si>
    <t>8dbce9a8-4e8c-41c7-a836-12fe71b7ad0a</t>
  </si>
  <si>
    <t>Patricio Palomino</t>
  </si>
  <si>
    <t>carolinaoquendo@industrias.net</t>
  </si>
  <si>
    <t>b3d5e0b4-2834-4e54-a96a-d9085614ca23</t>
  </si>
  <si>
    <t>Elias Sotelo Espinal</t>
  </si>
  <si>
    <t>tvalle@guzman.org</t>
  </si>
  <si>
    <t>4082ebc9-a484-41c7-ae7f-fcdfa5f8c7f8</t>
  </si>
  <si>
    <t>Mtro. Camila Montemayor</t>
  </si>
  <si>
    <t>jose-eduardo21@yahoo.com</t>
  </si>
  <si>
    <t>a6735135-46d8-4997-ad55-d449e18fd075</t>
  </si>
  <si>
    <t xml:space="preserve">Teléfono-Gama alta-32GB </t>
  </si>
  <si>
    <t>Aldonza Hernan Sosa</t>
  </si>
  <si>
    <t>gracielasosa@gmail.com</t>
  </si>
  <si>
    <t>4c53a9db-d0fe-42d8-a909-921633d44173</t>
  </si>
  <si>
    <t>Gabino Conchita Bueno</t>
  </si>
  <si>
    <t>wvega@yahoo.com</t>
  </si>
  <si>
    <t>c46fe29a-c3e5-4c00-b9ea-94b719c84734</t>
  </si>
  <si>
    <t>Ruby Virginia Salcido</t>
  </si>
  <si>
    <t>zoe99@ornelas.com</t>
  </si>
  <si>
    <t>10459092-6977-440d-ad85-b85e03763cf7</t>
  </si>
  <si>
    <t>Cristian Jacinto Ornelas</t>
  </si>
  <si>
    <t>darenas@corporacin.org</t>
  </si>
  <si>
    <t>9c66ca34-d486-44b8-bf48-2843a252f7a0</t>
  </si>
  <si>
    <t>Eloisa Octavio Quintero</t>
  </si>
  <si>
    <t>griegomonica@yahoo.com</t>
  </si>
  <si>
    <t>80c340bc-bd50-477d-a7dc-27237bf10b22</t>
  </si>
  <si>
    <t>Reynaldo Darío Rivas</t>
  </si>
  <si>
    <t>ynavarro@gmail.com</t>
  </si>
  <si>
    <t>357c27a8-d03f-45e6-be30-3565ec6d4ff5</t>
  </si>
  <si>
    <t>Nelly Hernan Ríos Guardado</t>
  </si>
  <si>
    <t>francisco-javiersalcedo@hotmail.com</t>
  </si>
  <si>
    <t>c6f0a1e2-99c5-4a17-b0d8-ad6d416c81cc</t>
  </si>
  <si>
    <t>Gerardo Monica Cornejo Collado</t>
  </si>
  <si>
    <t>verduzcohilda@merino.biz</t>
  </si>
  <si>
    <t>f4841777-97d3-4cce-bc0f-17c21f34e253</t>
  </si>
  <si>
    <t>Esparta Gracia</t>
  </si>
  <si>
    <t>leonorbermudez@nieves.info</t>
  </si>
  <si>
    <t>7d131cdc-d20b-4dba-ba8c-67f9adbbcf3b</t>
  </si>
  <si>
    <t>Citlali Jorge Gastélum</t>
  </si>
  <si>
    <t>patricia75@corporacin.com</t>
  </si>
  <si>
    <t>b7d845eb-4a64-4099-a793-3f93363ea49e</t>
  </si>
  <si>
    <t>René Luna Pineda</t>
  </si>
  <si>
    <t>hocampo@corporacin.net</t>
  </si>
  <si>
    <t>75b08c4a-c440-4f59-a757-c070085c6101</t>
  </si>
  <si>
    <t>Jaime Gomez</t>
  </si>
  <si>
    <t>cabreraleonel@yahoo.com</t>
  </si>
  <si>
    <t>8204039a-5541-4976-bc5b-19da90d1ecf0</t>
  </si>
  <si>
    <t>Camilo Terrazas Merino</t>
  </si>
  <si>
    <t>julio-cesarrazo@hotmail.com</t>
  </si>
  <si>
    <t>97a11539-f994-4f4b-9252-85c25f05e297</t>
  </si>
  <si>
    <t>Ramon Godoy</t>
  </si>
  <si>
    <t>yolanda26@montemayor.biz</t>
  </si>
  <si>
    <t>e686ffbf-1106-4e80-9c74-30ed3ca60174</t>
  </si>
  <si>
    <t>Amador Juan Tafoya Hinojosa</t>
  </si>
  <si>
    <t>jose-emiliovillanueva@hotmail.com</t>
  </si>
  <si>
    <t>95d058cf-b6bc-4829-8814-0306aba9f164</t>
  </si>
  <si>
    <t>Yuridia Madrid</t>
  </si>
  <si>
    <t>kmurillo@proyectos.net</t>
  </si>
  <si>
    <t>5b24d4c8-65a7-4ec1-8ca1-f46584e4d7f7</t>
  </si>
  <si>
    <t>Humberto Rosas</t>
  </si>
  <si>
    <t>andresquinonez@yahoo.com</t>
  </si>
  <si>
    <t>98bc06e4-82c3-4589-93d7-e941e1ae7c85</t>
  </si>
  <si>
    <t>Ing. Liliana Puente</t>
  </si>
  <si>
    <t>rebeca22@yahoo.com</t>
  </si>
  <si>
    <t>49d7397b-eb15-4d2d-b30b-8f6ca86b2125</t>
  </si>
  <si>
    <t>Miguel Luis Giron Montañez</t>
  </si>
  <si>
    <t>saucedaconcepcion@hotmail.com</t>
  </si>
  <si>
    <t>d59afe7f-49e3-483a-97f5-ce81f54d250f</t>
  </si>
  <si>
    <t>Karla Berríos</t>
  </si>
  <si>
    <t>tmontoya@gmail.com</t>
  </si>
  <si>
    <t>34e4f422-3bd5-496a-af08-11ecf5856460</t>
  </si>
  <si>
    <t>Íliver Ulloa</t>
  </si>
  <si>
    <t>anel88@lugo.com</t>
  </si>
  <si>
    <t>0d9c3f44-a748-478b-8652-36bac0fde7f7</t>
  </si>
  <si>
    <t>María José Zeferino Avilés Zarate</t>
  </si>
  <si>
    <t>pelayojaqueline@hotmail.com</t>
  </si>
  <si>
    <t>404fea2a-d896-4427-a0d6-e0581df99ba3</t>
  </si>
  <si>
    <t>Sr(a). Ángela Navarro</t>
  </si>
  <si>
    <t>olivertejada@hotmail.com</t>
  </si>
  <si>
    <t>bfb5f658-102d-4d01-bec2-1f4cced1bbef</t>
  </si>
  <si>
    <t>Sergio Hugo Benavídez García</t>
  </si>
  <si>
    <t>jaquezesteban@gmail.com</t>
  </si>
  <si>
    <t>c100b479-c169-4f62-8d2a-82994a8ef0fa</t>
  </si>
  <si>
    <t>Salvador Barela</t>
  </si>
  <si>
    <t>itapia@despacho.com</t>
  </si>
  <si>
    <t>11a0323a-7513-4fd6-84cf-79c923b2e72e</t>
  </si>
  <si>
    <t>Sr(a). Carlota Aguayo</t>
  </si>
  <si>
    <t>auroralugo@acuna-mercado.com</t>
  </si>
  <si>
    <t>d58eb71d-bd78-4ec3-8a70-34213c01464b</t>
  </si>
  <si>
    <t>Sr(a). Monica Cortez</t>
  </si>
  <si>
    <t>benito43@corporacin.com</t>
  </si>
  <si>
    <t>814e531c-1781-4af9-86e2-0da4494565c9</t>
  </si>
  <si>
    <t>Abel Véliz</t>
  </si>
  <si>
    <t>eduardo20@club.org</t>
  </si>
  <si>
    <t>499ebdfa-358c-41aa-8d92-cc8b5259dfd0</t>
  </si>
  <si>
    <t>Gilberto Arellano Lozano</t>
  </si>
  <si>
    <t>de-la-fuentemanuel@yahoo.com</t>
  </si>
  <si>
    <t>5659c3e8-e722-4ce4-a66f-283a33db3b2a</t>
  </si>
  <si>
    <t>Cristina Miguel Madrid</t>
  </si>
  <si>
    <t>wnevarez@perea.com</t>
  </si>
  <si>
    <t>d710fc03-2b70-47e7-9fe6-590b75fdde09</t>
  </si>
  <si>
    <t>Ing. Blanca Alfaro</t>
  </si>
  <si>
    <t>jaime62@industrias.com</t>
  </si>
  <si>
    <t>850ed2df-b6ba-4845-90f3-4d82ffd954aa</t>
  </si>
  <si>
    <t>Rocío José Luis Villareal Vargas</t>
  </si>
  <si>
    <t>ramon28@gmail.com</t>
  </si>
  <si>
    <t>5c84518e-8046-4ee0-802c-5c7e6eafa4c6</t>
  </si>
  <si>
    <t>Ing. Cristina Gamez</t>
  </si>
  <si>
    <t>jose-luis02@hotmail.com</t>
  </si>
  <si>
    <t>4bf38add-780a-44cc-839a-27eadcf0009e</t>
  </si>
  <si>
    <t>Mtro. Zeferino Oquendo</t>
  </si>
  <si>
    <t>lbarajas@alva-montalvo.com</t>
  </si>
  <si>
    <t>8a06b4fc-26f2-4b8b-827b-2c6a1f537edf</t>
  </si>
  <si>
    <t>Julio Fuentes</t>
  </si>
  <si>
    <t>vnavarro@gmail.com</t>
  </si>
  <si>
    <t>36de6ea0-d38c-4032-a4ab-885c917e6447</t>
  </si>
  <si>
    <t>Lic. Pedro Jasso</t>
  </si>
  <si>
    <t>forosco@mesa.biz</t>
  </si>
  <si>
    <t>dd6c8ba4-bdce-4e89-8a25-248a85e34e96</t>
  </si>
  <si>
    <t>Lic. Patricia Feliciano</t>
  </si>
  <si>
    <t>pcruz@zelaya.com</t>
  </si>
  <si>
    <t>b9c6fc20-68c7-453f-b881-23c480cd6bd2</t>
  </si>
  <si>
    <t>Fidel Celia Roque Vallejo</t>
  </si>
  <si>
    <t>gamezjonas@estevez.org</t>
  </si>
  <si>
    <t>b2ccd416-d146-4511-9bd6-7eb3bd7333c6</t>
  </si>
  <si>
    <t>Victoria Wendolin Terrazas Carvajal</t>
  </si>
  <si>
    <t>avalosjosefina@gmail.com</t>
  </si>
  <si>
    <t>e469cff8-fcc0-4664-b06d-c801efd84779</t>
  </si>
  <si>
    <t>Mtro. Emiliano Estévez</t>
  </si>
  <si>
    <t>ballesterosevelio@yahoo.com</t>
  </si>
  <si>
    <t>d06b5f3f-acab-4f8e-bf1a-8c1dfe18228e</t>
  </si>
  <si>
    <t>Ing. Mitzy Ordoñez</t>
  </si>
  <si>
    <t>urielojeda@fierro-cordero.com</t>
  </si>
  <si>
    <t>d0cc2a3f-64b1-4463-bad8-280dbaa0e01e</t>
  </si>
  <si>
    <t>Alfonso Geronimo Tovar Merino</t>
  </si>
  <si>
    <t>xnino@yahoo.com</t>
  </si>
  <si>
    <t>0a194163-91a5-4990-a439-13d2a04cdd0d</t>
  </si>
  <si>
    <t>Jeronimo José Manuél Magaña</t>
  </si>
  <si>
    <t>amaliaespino@mota-bernal.info</t>
  </si>
  <si>
    <t>63646080-8a8e-4da1-9008-d9bbefce4fdd</t>
  </si>
  <si>
    <t>Oswaldo Jorge Mota</t>
  </si>
  <si>
    <t>luis-manuelperes@club.info</t>
  </si>
  <si>
    <t>c6836bfa-f154-46e7-81fa-88577b4553a6</t>
  </si>
  <si>
    <t>Zeferino Clara Ureña Ramos</t>
  </si>
  <si>
    <t>anaranjo@despacho.com</t>
  </si>
  <si>
    <t>00f3b5c0-94a8-46ed-a8a8-4d11bde44da7</t>
  </si>
  <si>
    <t>Eva Julio Corrales</t>
  </si>
  <si>
    <t>ilebron@yahoo.com</t>
  </si>
  <si>
    <t>d8feecfb-981d-4008-b113-8a7aba34e4b1</t>
  </si>
  <si>
    <t>Eva Rivas Gallardo</t>
  </si>
  <si>
    <t>lpacheco@yahoo.com</t>
  </si>
  <si>
    <t>5d5d2fc9-2318-4ab5-b209-bb096e9dc1a1</t>
  </si>
  <si>
    <t>Gilberto Tamez Sanches</t>
  </si>
  <si>
    <t>gcotto@alcala-espinoza.com</t>
  </si>
  <si>
    <t>239ba516-3ba4-4ab3-afd0-e7520e4284da</t>
  </si>
  <si>
    <t>Elias Carmen Téllez</t>
  </si>
  <si>
    <t>teresaaguirre@despacho.com</t>
  </si>
  <si>
    <t>6563276b-f905-470d-b64b-37b07114a824</t>
  </si>
  <si>
    <t>Socorro Arcelia Alejandro</t>
  </si>
  <si>
    <t>nazarioandrea@hotmail.com</t>
  </si>
  <si>
    <t>892ddf8c-3dff-4e70-bc34-fe5c8d39a78f</t>
  </si>
  <si>
    <t>Alejandro Aida Esquibel Candelaria</t>
  </si>
  <si>
    <t>cornelio81@hotmail.com</t>
  </si>
  <si>
    <t>a684008b-46bc-446c-9f1d-5210c524215e</t>
  </si>
  <si>
    <t>Camila Arcelia Enríquez Hinojosa</t>
  </si>
  <si>
    <t>ehernandez@nieto.com</t>
  </si>
  <si>
    <t>3f4e6744-9808-4bca-91b6-ef2b005468ab</t>
  </si>
  <si>
    <t>Claudio Ana Aguirre Urías</t>
  </si>
  <si>
    <t>celia37@guardado.com</t>
  </si>
  <si>
    <t>594ee58d-dd9f-43f8-bbcc-5f4716f3b8bf</t>
  </si>
  <si>
    <t>Adan Perla Orosco</t>
  </si>
  <si>
    <t>estebanespinal@hotmail.com</t>
  </si>
  <si>
    <t>61cc0a01-493f-48a6-8973-8cc3bf69bd4b</t>
  </si>
  <si>
    <t>Ing. Fernando Calderon</t>
  </si>
  <si>
    <t>cristinaarguello@del.info</t>
  </si>
  <si>
    <t>0877fac4-86db-45ad-94c8-6b0e1624953f</t>
  </si>
  <si>
    <t>Sr(a). Carla Nevarez</t>
  </si>
  <si>
    <t>gregoriocervantes@hotmail.com</t>
  </si>
  <si>
    <t>4e35c600-2a16-4f28-9de5-5ac2151674a5</t>
  </si>
  <si>
    <t>Eduardo Benavídez Leal</t>
  </si>
  <si>
    <t>mariana08@jurado.org</t>
  </si>
  <si>
    <t>710a2493-760b-4c29-8181-ee456d867a10</t>
  </si>
  <si>
    <t>Elena Guardado Enríquez</t>
  </si>
  <si>
    <t>carolina73@gmail.com</t>
  </si>
  <si>
    <t>a406d85a-6020-4738-b3ed-53d680678126</t>
  </si>
  <si>
    <t>Julia Najera</t>
  </si>
  <si>
    <t>santillancamila@hotmail.com</t>
  </si>
  <si>
    <t>7a847fe9-f974-4d38-9d3a-114f4c95ca6c</t>
  </si>
  <si>
    <t>Uriel Abel Rivero Vargas</t>
  </si>
  <si>
    <t>mariasevilla@caldera-valdivia.com</t>
  </si>
  <si>
    <t>b5d71709-4790-49a2-b5ad-435f7ed9b979</t>
  </si>
  <si>
    <t>José Manuél Barrios</t>
  </si>
  <si>
    <t>pserrano@gmail.com</t>
  </si>
  <si>
    <t>b34e56ee-bab9-42ce-a5f4-4476f3368f27</t>
  </si>
  <si>
    <t>Mtro. Perla Meléndez</t>
  </si>
  <si>
    <t>renedominguez@osorio.com</t>
  </si>
  <si>
    <t>98d1bc59-ba9c-4923-b9cd-06d3c57ffe57</t>
  </si>
  <si>
    <t>Santiago Frías</t>
  </si>
  <si>
    <t>nayelipedroza@samaniego.com</t>
  </si>
  <si>
    <t>2fcfe31d-bbe3-4d02-997b-2a688e44aa4a</t>
  </si>
  <si>
    <t>Elvira Laboy</t>
  </si>
  <si>
    <t>henriquezjose-maria@gurule.net</t>
  </si>
  <si>
    <t>29b35046-a922-4222-bb43-d4f2e673f05e</t>
  </si>
  <si>
    <t>Sr(a). Lucía Montoya</t>
  </si>
  <si>
    <t>jcintron@hotmail.com</t>
  </si>
  <si>
    <t>c048f440-4471-4f5b-8f49-4805f745f284</t>
  </si>
  <si>
    <t>Cynthia Aguilera Figueroa</t>
  </si>
  <si>
    <t>eloyarroyo@yahoo.com</t>
  </si>
  <si>
    <t>6a533065-10e9-417f-90b8-cc321916284c</t>
  </si>
  <si>
    <t>Arturo Haro Varela</t>
  </si>
  <si>
    <t>ssosa@hotmail.com</t>
  </si>
  <si>
    <t>2feb799d-af20-4c3b-99b5-36c59009058b</t>
  </si>
  <si>
    <t>Marcela Augusto Baca</t>
  </si>
  <si>
    <t>luisromo@grupo.org</t>
  </si>
  <si>
    <t>213520c6-9cb7-434b-bd54-ffac25a0f0c9</t>
  </si>
  <si>
    <t>Israel Paredes</t>
  </si>
  <si>
    <t>josefinacarrero@zavala.com</t>
  </si>
  <si>
    <t>448e14d0-eae1-4771-8c1c-dd1f4ea21088</t>
  </si>
  <si>
    <t>Lorenzo Collado Gastélum</t>
  </si>
  <si>
    <t>lorena10@gmail.com</t>
  </si>
  <si>
    <t>ad71df5b-e541-4c69-a100-86824806dfcc</t>
  </si>
  <si>
    <t>Amanda Baez</t>
  </si>
  <si>
    <t>zamudiooswaldo@rosales.com</t>
  </si>
  <si>
    <t>a7dfe4eb-5eeb-4472-bdee-bc2113869dcc</t>
  </si>
  <si>
    <t>Ing. Pilar Laboy</t>
  </si>
  <si>
    <t>gdel-valle@covarrubias-marquez.com</t>
  </si>
  <si>
    <t>86e384a9-c2a7-45ca-a673-368c949b7a96</t>
  </si>
  <si>
    <t>Cecilia Casas Ledesma</t>
  </si>
  <si>
    <t>gabinopolanco@gmail.com</t>
  </si>
  <si>
    <t>31af08be-2649-4947-9338-28fb518be843</t>
  </si>
  <si>
    <t>Órsula Cristian Ledesma Lara</t>
  </si>
  <si>
    <t>aholguin@industrias.com</t>
  </si>
  <si>
    <t>db925419-778f-4d29-963a-7f15f6e37629</t>
  </si>
  <si>
    <t>Lic. Berta Cortés</t>
  </si>
  <si>
    <t>malaveleonor@hotmail.com</t>
  </si>
  <si>
    <t>bedb2d59-276e-4a43-a057-2331a8689f9f</t>
  </si>
  <si>
    <t>Eugenio Marcos Lara</t>
  </si>
  <si>
    <t>guadalupe65@cervantez.info</t>
  </si>
  <si>
    <t>1f9cafc0-71e6-4941-89cd-cd0654b8509f</t>
  </si>
  <si>
    <t>Catalina Adela Galarza Camacho</t>
  </si>
  <si>
    <t>yfarias@industrias.com</t>
  </si>
  <si>
    <t>6685e5bb-9081-494c-b6aa-422ddb87955d</t>
  </si>
  <si>
    <t>Jesús Jimínez</t>
  </si>
  <si>
    <t>wadame@yahoo.com</t>
  </si>
  <si>
    <t>437715f5-b663-4ceb-8e4d-01760b5c39e8</t>
  </si>
  <si>
    <t>Ing. Abraham Giron</t>
  </si>
  <si>
    <t>socorrodel-valle@gmail.com</t>
  </si>
  <si>
    <t>fe56b9b6-8658-46ab-b178-142e1c6c32ec</t>
  </si>
  <si>
    <t>Marisol Lucio Perea</t>
  </si>
  <si>
    <t>helenanaranjo@roybal.org</t>
  </si>
  <si>
    <t>43e6f253-5964-4977-b9a4-0e5736909a2d</t>
  </si>
  <si>
    <t xml:space="preserve">Laptop-Gaming-32GB </t>
  </si>
  <si>
    <t>Esperanza Pablo Villa Segovia</t>
  </si>
  <si>
    <t>cortestrinidad@hotmail.com</t>
  </si>
  <si>
    <t>8cbd3d88-e898-4121-92bf-4315def5c26b</t>
  </si>
  <si>
    <t>Dr. Eloy Valles</t>
  </si>
  <si>
    <t>lucas66@hotmail.com</t>
  </si>
  <si>
    <t>df469a69-84f1-42dd-80d3-89ef0d15476d</t>
  </si>
  <si>
    <t>Susana Valadez de la Crúz</t>
  </si>
  <si>
    <t>qrosado@hotmail.com</t>
  </si>
  <si>
    <t>4f8944d0-df82-4668-beab-3dcdc6f3cf2f</t>
  </si>
  <si>
    <t>Emilio Alva</t>
  </si>
  <si>
    <t>veronicalongoria@hotmail.com</t>
  </si>
  <si>
    <t>2c896ee7-2283-43d2-9ff9-44e43322ed6f</t>
  </si>
  <si>
    <t>Micaela Zavala Borrego</t>
  </si>
  <si>
    <t>gcalvillo@gmail.com</t>
  </si>
  <si>
    <t>5d97fe11-f95b-42c8-8f10-ab98a05aedf1</t>
  </si>
  <si>
    <t>Cristobal Frida Lucero Chapa</t>
  </si>
  <si>
    <t>gregoriopuente@laboratorios.info</t>
  </si>
  <si>
    <t>1af3b08f-465e-4aef-884a-7fb512a724c1</t>
  </si>
  <si>
    <t>Abril Fonseca</t>
  </si>
  <si>
    <t>jorgecervantes@yahoo.com</t>
  </si>
  <si>
    <t>0c2c5144-f911-42db-bd29-5f8d9540954e</t>
  </si>
  <si>
    <t xml:space="preserve">Auriculares-Bluetooth-8GB </t>
  </si>
  <si>
    <t>Dr. Ramon Miramontes</t>
  </si>
  <si>
    <t>prietojorge@hotmail.com</t>
  </si>
  <si>
    <t>33b5cb0d-ba44-4160-8e1f-1175cb33b310</t>
  </si>
  <si>
    <t>María Cristina Esparta Partida Lozano</t>
  </si>
  <si>
    <t>valenzuelarodolfo@yahoo.com</t>
  </si>
  <si>
    <t>344db87d-a5d1-4172-aec9-fa915cf7c5b7</t>
  </si>
  <si>
    <t>Daniel Carlota Arredondo Linares</t>
  </si>
  <si>
    <t>olveraalvaro@hotmail.com</t>
  </si>
  <si>
    <t>50132920-f6aa-4e4d-8964-c48df8dcf12f</t>
  </si>
  <si>
    <t>Íliver Julio César Cervantes</t>
  </si>
  <si>
    <t>ncardenas@hotmail.com</t>
  </si>
  <si>
    <t>1ee6182c-86b4-4ebe-b5e3-4e371ac515a7</t>
  </si>
  <si>
    <t>Emilio Peres</t>
  </si>
  <si>
    <t>ovillalpando@hotmail.com</t>
  </si>
  <si>
    <t>67e78427-8d9f-40c5-b32d-df9777d2029d</t>
  </si>
  <si>
    <t>Dr. Irma Bañuelos</t>
  </si>
  <si>
    <t>hernadezalvaro@gmail.com</t>
  </si>
  <si>
    <t>2b9e4412-7cfc-4c93-b65b-fdd1b959ea0f</t>
  </si>
  <si>
    <t>Federico Matías</t>
  </si>
  <si>
    <t>florencia21@grupo.com</t>
  </si>
  <si>
    <t>f3f6eded-9605-463d-befb-0ec09cb7398f</t>
  </si>
  <si>
    <t>Elena Delgado Menéndez</t>
  </si>
  <si>
    <t>cristianbrito@gmail.com</t>
  </si>
  <si>
    <t>8ad2a9d2-c3c0-4b9e-8d31-bc798c2a566c</t>
  </si>
  <si>
    <t>Rubén Cecilia Zarate</t>
  </si>
  <si>
    <t>vcarreon@industrias.net</t>
  </si>
  <si>
    <t>9376962f-fb7b-4390-9eee-6e8d5c685697</t>
  </si>
  <si>
    <t>Martín Salma Bermúdez</t>
  </si>
  <si>
    <t>emateo@colunga.com</t>
  </si>
  <si>
    <t>499a27b8-9b8a-42df-848c-279a1fb88d7a</t>
  </si>
  <si>
    <t>Emiliano Emilio Cuellar</t>
  </si>
  <si>
    <t>jaquezpatricia@hotmail.com</t>
  </si>
  <si>
    <t>208bb22e-749f-4a4a-a2fd-3ec3a0703858</t>
  </si>
  <si>
    <t>Lic. Estela Vanegas</t>
  </si>
  <si>
    <t>asuncionespino@gmail.com</t>
  </si>
  <si>
    <t>24f20540-a81a-4ad1-acf0-df3af36dae7d</t>
  </si>
  <si>
    <t>Ángela Homero Bravo</t>
  </si>
  <si>
    <t>cruzhoracio@yahoo.com</t>
  </si>
  <si>
    <t>7a1fbf36-eb1f-47d5-9a36-263dd8af1257</t>
  </si>
  <si>
    <t>Lilia Esteban Lucio</t>
  </si>
  <si>
    <t>rosarioalmaraz@gmail.com</t>
  </si>
  <si>
    <t>26650ad1-0a4e-4c43-b8b0-99095f0adc66</t>
  </si>
  <si>
    <t>Indira Eugenia Fuentes</t>
  </si>
  <si>
    <t>cabreraabelardo@gmail.com</t>
  </si>
  <si>
    <t>3cef5bc2-1b15-4ce6-a4a3-3a3e5951e220</t>
  </si>
  <si>
    <t>Olivia Amelia Cadena</t>
  </si>
  <si>
    <t>barriosconchita@industrias.com</t>
  </si>
  <si>
    <t>4166e455-ac94-49a0-9bd8-7a5c8a17ac45</t>
  </si>
  <si>
    <t>Lic. Arturo Barraza</t>
  </si>
  <si>
    <t>nbarraza@yahoo.com</t>
  </si>
  <si>
    <t>0a5787f4-b611-4db3-9a36-d6bd45f0ce8e</t>
  </si>
  <si>
    <t>Mtro. Andrea Ríos</t>
  </si>
  <si>
    <t>ujasso@abreu-crespo.info</t>
  </si>
  <si>
    <t>c433376a-096b-4d0c-b385-da369f628996</t>
  </si>
  <si>
    <t>Alvaro Ontiveros</t>
  </si>
  <si>
    <t>elvira02@hotmail.com</t>
  </si>
  <si>
    <t>f04eeda0-c720-4430-b322-240c09bd8019</t>
  </si>
  <si>
    <t>Ing. Zacarías Padron</t>
  </si>
  <si>
    <t>rsosa@laboratorios.com</t>
  </si>
  <si>
    <t>4d35d453-5b30-4e58-a33c-a870dde7a68f</t>
  </si>
  <si>
    <t>German Bustos</t>
  </si>
  <si>
    <t>luis-miguelsantacruz@yahoo.com</t>
  </si>
  <si>
    <t>ee1c498f-9419-41b5-aad7-950f328bcf29</t>
  </si>
  <si>
    <t>Darío Antonia Medrano</t>
  </si>
  <si>
    <t>leonelponce@hotmail.com</t>
  </si>
  <si>
    <t>1721608b-9124-49ea-8ec0-ea350388ca09</t>
  </si>
  <si>
    <t>Lic. Marisol Toledo</t>
  </si>
  <si>
    <t>emilianovillanueva@grupo.org</t>
  </si>
  <si>
    <t>715a22e4-0dbf-4ab3-9d6d-bc8cfaed54f3</t>
  </si>
  <si>
    <t>José Aparicio</t>
  </si>
  <si>
    <t>olivia24@yahoo.com</t>
  </si>
  <si>
    <t>4185aaab-33a2-4e6e-bebe-5b6cf12100d2</t>
  </si>
  <si>
    <t>César Jimínez</t>
  </si>
  <si>
    <t>albertourena@yahoo.com</t>
  </si>
  <si>
    <t>5b96a097-c481-4d3e-86e5-63c57b646a68</t>
  </si>
  <si>
    <t>Maximiliano Puga</t>
  </si>
  <si>
    <t>ilongoria@gmail.com</t>
  </si>
  <si>
    <t>89989cae-b728-4235-9a32-5fbf288f2094</t>
  </si>
  <si>
    <t>Miguel Granados Oquendo</t>
  </si>
  <si>
    <t>raquelzamudio@corporacin.org</t>
  </si>
  <si>
    <t>3cad7de1-68ae-4cc7-b586-20c1f7e16a6f</t>
  </si>
  <si>
    <t>Dr. Zoé Alejandro</t>
  </si>
  <si>
    <t>psolorzano@proyectos.org</t>
  </si>
  <si>
    <t>43dd123c-830b-4e71-8f96-a6643feac4d9</t>
  </si>
  <si>
    <t>Dr. Graciela Garibay</t>
  </si>
  <si>
    <t>indiracarrasco@gmail.com</t>
  </si>
  <si>
    <t>d7d84721-5bb1-4a4d-b1af-1660508cc586</t>
  </si>
  <si>
    <t>Mtro. Marcos Rivas</t>
  </si>
  <si>
    <t>bbenavides@grupo.biz</t>
  </si>
  <si>
    <t>5b8c2387-f4d6-4823-8d42-a41707a832ef</t>
  </si>
  <si>
    <t>Federico Angulo</t>
  </si>
  <si>
    <t>federico70@velasco.biz</t>
  </si>
  <si>
    <t>b97d18e7-1657-470e-bc41-0860e9f0889b</t>
  </si>
  <si>
    <t>Virginia Aldonza Zamora Longoria</t>
  </si>
  <si>
    <t>bpacheco@hotmail.com</t>
  </si>
  <si>
    <t>512f8818-bb8d-466a-9f10-79bd8f52408b</t>
  </si>
  <si>
    <t>Diego Valdez</t>
  </si>
  <si>
    <t>ana-marialomeli@santana.net</t>
  </si>
  <si>
    <t>c9d412ed-c316-4612-a0d3-34580de6a8c0</t>
  </si>
  <si>
    <t>Caridad Alvarado</t>
  </si>
  <si>
    <t>geronimoalmonte@hotmail.com</t>
  </si>
  <si>
    <t>0290472b-3bf5-4451-95ed-11349e543e25</t>
  </si>
  <si>
    <t>Ing. Zacarías Galvan</t>
  </si>
  <si>
    <t>abrillemus@hotmail.com</t>
  </si>
  <si>
    <t>de4c96f0-b965-4289-ab99-9976cb8ce9b5</t>
  </si>
  <si>
    <t>Camilo Cervantez</t>
  </si>
  <si>
    <t>isaac33@gmail.com</t>
  </si>
  <si>
    <t>6a272f91-94e7-4624-af64-2a57ea5ea246</t>
  </si>
  <si>
    <t>Graciela Merino</t>
  </si>
  <si>
    <t>hernan45@yahoo.com</t>
  </si>
  <si>
    <t>c744e13d-7463-4060-ba2d-cdabdb1c3b2d</t>
  </si>
  <si>
    <t>Dr. César Portillo</t>
  </si>
  <si>
    <t>ireneberrios@torres.biz</t>
  </si>
  <si>
    <t>20632308-0231-4070-97bf-4fc82c188f74</t>
  </si>
  <si>
    <t>Gloria Caban Santana</t>
  </si>
  <si>
    <t>alejandra48@yahoo.com</t>
  </si>
  <si>
    <t>9183f20d-2692-4cfd-9433-54c64739a537</t>
  </si>
  <si>
    <t>Yolanda Elisa de la Garza</t>
  </si>
  <si>
    <t>rodrigo57@centeno-meza.org</t>
  </si>
  <si>
    <t>63bf917d-0951-46b0-8ecc-bca9b657690f</t>
  </si>
  <si>
    <t>Cristobal Renato Malave Mercado</t>
  </si>
  <si>
    <t>israel06@industrias.net</t>
  </si>
  <si>
    <t>c800eb85-be04-43c5-950c-4be1b628b942</t>
  </si>
  <si>
    <t>Olga Merino Benavides</t>
  </si>
  <si>
    <t>juanaceja@corporacin.org</t>
  </si>
  <si>
    <t>3d80365e-3ca4-4c40-b7b5-8655955878bf</t>
  </si>
  <si>
    <t>Cristina Alejandro</t>
  </si>
  <si>
    <t>mayteramon@gmail.com</t>
  </si>
  <si>
    <t>df1772a5-47bc-4e80-a07f-cca86b2ebcdc</t>
  </si>
  <si>
    <t>Jaqueline Velasquez Hidalgo</t>
  </si>
  <si>
    <t>oquendoyeni@gmail.com</t>
  </si>
  <si>
    <t>0bbe7dc7-b837-4dff-83eb-a691bf3d9337</t>
  </si>
  <si>
    <t>Paulina Cornejo</t>
  </si>
  <si>
    <t>mballesteros@escamilla-aguayo.info</t>
  </si>
  <si>
    <t>c0e13eaa-0352-4ecd-87d9-f5acfcbb40df</t>
  </si>
  <si>
    <t>Gerardo Elisa Franco</t>
  </si>
  <si>
    <t>nzapata@yahoo.com</t>
  </si>
  <si>
    <t>50041cfa-9dbe-4a33-855e-dfc293e0392e</t>
  </si>
  <si>
    <t>Uriel José María Mercado</t>
  </si>
  <si>
    <t>sevillaemiliano@yahoo.com</t>
  </si>
  <si>
    <t>7d923bc2-e260-42ce-af34-40f80a5bb97e</t>
  </si>
  <si>
    <t>Bernabé Colunga Cordero</t>
  </si>
  <si>
    <t>overa@hotmail.com</t>
  </si>
  <si>
    <t>a0229848-67ee-4a81-b13f-f722ded36349</t>
  </si>
  <si>
    <t>Dulce María Rendon Zedillo</t>
  </si>
  <si>
    <t>jassomarco-antonio@gmail.com</t>
  </si>
  <si>
    <t>dbe8b52b-292f-4415-82d6-3dad0ebf96c7</t>
  </si>
  <si>
    <t>Wilfrido Mariana Rivero Martínez</t>
  </si>
  <si>
    <t>darioquintero@grupo.biz</t>
  </si>
  <si>
    <t>efd76242-e0b5-4aca-8c44-84ce7f553f97</t>
  </si>
  <si>
    <t>Sara Jorge Alvarez</t>
  </si>
  <si>
    <t>micaela56@corporacin.com</t>
  </si>
  <si>
    <t>74aa1913-0ff5-4bb1-b6ab-0793b04293d5</t>
  </si>
  <si>
    <t>Alma Karina Munguía Paredes</t>
  </si>
  <si>
    <t>jaquelineontiveros@grupo.com</t>
  </si>
  <si>
    <t>770c656a-1e48-4e6d-8a82-6d225a04964e</t>
  </si>
  <si>
    <t>Sr(a). Mario Cortés</t>
  </si>
  <si>
    <t>oliviacarmona@magana.net</t>
  </si>
  <si>
    <t>9b5f5828-58aa-4107-b467-e223f64cae41</t>
  </si>
  <si>
    <t>Jeronimo Evelio Serrano Almonte</t>
  </si>
  <si>
    <t>rmireles@hotmail.com</t>
  </si>
  <si>
    <t>5adc0581-cda3-450e-9af3-c3c10c954910</t>
  </si>
  <si>
    <t>Isabel Quiroz</t>
  </si>
  <si>
    <t>riverocynthia@laboratorios.org</t>
  </si>
  <si>
    <t>9ed12598-d607-406c-a92d-66e498a65727</t>
  </si>
  <si>
    <t>Margarita Guadalupe Ceja</t>
  </si>
  <si>
    <t>pvaca@padilla-calderon.com</t>
  </si>
  <si>
    <t>077fd234-6153-410d-a149-184f01f2e37a</t>
  </si>
  <si>
    <t>Diego Benito Ramos Galvan</t>
  </si>
  <si>
    <t>pilarpena@gmail.com</t>
  </si>
  <si>
    <t>557a8a9d-fb81-41f2-9c1e-7c5651463eae</t>
  </si>
  <si>
    <t>Tomas Cabrera Tijerina</t>
  </si>
  <si>
    <t>rene11@carrillo.com</t>
  </si>
  <si>
    <t>5548f892-9c81-4567-87e7-399e543e91d9</t>
  </si>
  <si>
    <t>Ana María Palacios Cardenas</t>
  </si>
  <si>
    <t>brunoferrer@hotmail.com</t>
  </si>
  <si>
    <t>147138ab-2800-4faa-9770-b5aac577f7f3</t>
  </si>
  <si>
    <t>Delia Jacinto Quintanilla Olvera</t>
  </si>
  <si>
    <t>jorge11@yahoo.com</t>
  </si>
  <si>
    <t>4f7b91d2-aac8-4620-9241-12ffa5035fae</t>
  </si>
  <si>
    <t>Olga Frías Paz</t>
  </si>
  <si>
    <t>maytezamudio@hotmail.com</t>
  </si>
  <si>
    <t>e4cf76ae-abd2-47d4-a0b7-6238612481ae</t>
  </si>
  <si>
    <t>Guadalupe Marisol Negron Cazares</t>
  </si>
  <si>
    <t>jacinto56@laboratorios.biz</t>
  </si>
  <si>
    <t>76bda0d9-e9f9-4356-9c98-ac7e6cc773af</t>
  </si>
  <si>
    <t>Mariana Guerrero Arreola</t>
  </si>
  <si>
    <t>catalina70@gmail.com</t>
  </si>
  <si>
    <t>08b75205-ce56-4b95-a64f-9819304e40e0</t>
  </si>
  <si>
    <t>Eric Montañez Velazquez</t>
  </si>
  <si>
    <t>eugeniobravo@gmail.com</t>
  </si>
  <si>
    <t>be84e0fe-9e4b-46e0-be04-6f0f71667755</t>
  </si>
  <si>
    <t>Carolina Caban Urías</t>
  </si>
  <si>
    <t>bruno96@hotmail.com</t>
  </si>
  <si>
    <t>6df2b0ce-9ac0-4cf2-946a-557bf24c972f</t>
  </si>
  <si>
    <t>Timoteo Abelardo Urías Niño</t>
  </si>
  <si>
    <t>bfajardo@gmail.com</t>
  </si>
  <si>
    <t>279ccf00-0de5-4813-a6ed-58a52bc1a5ad</t>
  </si>
  <si>
    <t>Ricardo Eugenio Meza</t>
  </si>
  <si>
    <t>uriasbernabe@perez-saldivar.com</t>
  </si>
  <si>
    <t>8f7b25cf-e88f-4704-9a71-5fe4e6e4d0c9</t>
  </si>
  <si>
    <t>Abril Ríos</t>
  </si>
  <si>
    <t>acevedobruno@gmail.com</t>
  </si>
  <si>
    <t>8429854b-a406-4cf2-9cdd-ed466b843f6e</t>
  </si>
  <si>
    <t>Lic. Andrea Altamirano</t>
  </si>
  <si>
    <t>bustossandra@gmail.com</t>
  </si>
  <si>
    <t>df7faa34-7de9-48f0-8ba1-2897a5b1e8fd</t>
  </si>
  <si>
    <t>Dalia Sosa</t>
  </si>
  <si>
    <t>monteroraul@yahoo.com</t>
  </si>
  <si>
    <t>6b1218cd-9317-4016-8163-c9066aeb1992</t>
  </si>
  <si>
    <t>Abel Toro</t>
  </si>
  <si>
    <t>sramos@hotmail.com</t>
  </si>
  <si>
    <t>a7ec5218-20b5-4ecf-b899-d9c26fa6614c</t>
  </si>
  <si>
    <t>Esther Casares</t>
  </si>
  <si>
    <t>qvilla@gmail.com</t>
  </si>
  <si>
    <t>2a51a5bd-6af1-4306-8be1-f8bb0f7106d3</t>
  </si>
  <si>
    <t>Cristina Anguiano</t>
  </si>
  <si>
    <t>felixramon@gmail.com</t>
  </si>
  <si>
    <t>21534354-fc0b-48d9-9d78-62a4badc1a43</t>
  </si>
  <si>
    <t>Marisol Santana</t>
  </si>
  <si>
    <t>ypichardo@hotmail.com</t>
  </si>
  <si>
    <t>2928f18a-0aa5-4ac6-90e5-f816a534a90a</t>
  </si>
  <si>
    <t>Benjamín Luisa Marrero Frías</t>
  </si>
  <si>
    <t>maria-cristinamatos@hotmail.com</t>
  </si>
  <si>
    <t>111af87c-5fa3-4502-94ae-5ee5b28a52c9</t>
  </si>
  <si>
    <t>Mariano Corrales Orosco</t>
  </si>
  <si>
    <t>jorge49@gmail.com</t>
  </si>
  <si>
    <t>22325f75-012a-4872-929d-f3dcad77dde8</t>
  </si>
  <si>
    <t>Anel Marco Antonio Patiño</t>
  </si>
  <si>
    <t>soledad84@yahoo.com</t>
  </si>
  <si>
    <t>8faa345b-0095-4a30-b89a-79a7b53e217a</t>
  </si>
  <si>
    <t>Carlota Julio de Jesús</t>
  </si>
  <si>
    <t>de-la-fuentereina@gmail.com</t>
  </si>
  <si>
    <t>17ce4fbf-b0f5-4e3b-aeb9-956b5c881168</t>
  </si>
  <si>
    <t>Norma Gastélum Estévez</t>
  </si>
  <si>
    <t>qde-la-garza@alejandro.info</t>
  </si>
  <si>
    <t>7ca60689-ffdb-4ad9-b339-4085c13dfc70</t>
  </si>
  <si>
    <t>Gilberto Mascareñas</t>
  </si>
  <si>
    <t>toledojacobo@olivo.biz</t>
  </si>
  <si>
    <t>54fb7e8c-ef1d-4daf-815b-e5c1e7948ed3</t>
  </si>
  <si>
    <t>Concepcion Elias Alonso Garrido</t>
  </si>
  <si>
    <t>jose-luisanaya@olivo-villa.com</t>
  </si>
  <si>
    <t>51261e24-fd4f-491f-82aa-f60c2d85e228</t>
  </si>
  <si>
    <t>Cynthia Rolon</t>
  </si>
  <si>
    <t>emiliaesparza@santacruz.org</t>
  </si>
  <si>
    <t>dd4ae052-c48d-46dc-a438-fad5a215831b</t>
  </si>
  <si>
    <t>Emiliano Ofelia Luevano</t>
  </si>
  <si>
    <t>almonteadriana@chapa-grijalva.biz</t>
  </si>
  <si>
    <t>627df819-fafe-490b-ae7e-587db323ca23</t>
  </si>
  <si>
    <t>Alejandra Marco Antonio Salas Contreras</t>
  </si>
  <si>
    <t>abelurrutia@grupo.com</t>
  </si>
  <si>
    <t>200bbda1-4911-48eb-b2f0-a013eecdf376</t>
  </si>
  <si>
    <t>Dr. Salma de Anda</t>
  </si>
  <si>
    <t>amayajavier@gmail.com</t>
  </si>
  <si>
    <t>68c5e3c1-7b1b-43a7-acde-3a8ad2cd8bac</t>
  </si>
  <si>
    <t>Dr. Pascual Bravo</t>
  </si>
  <si>
    <t>jacoboalcantar@bahena.info</t>
  </si>
  <si>
    <t>c04d55c7-13f0-4d59-820e-72c4f05b3e9a</t>
  </si>
  <si>
    <t>Estefanía Ruiz</t>
  </si>
  <si>
    <t>mateocastro@club.com</t>
  </si>
  <si>
    <t>6fbf18c0-1d19-4cf9-b5cc-83d5970b7678</t>
  </si>
  <si>
    <t>Dr. Rosa Serrano</t>
  </si>
  <si>
    <t>agustin99@hotmail.com</t>
  </si>
  <si>
    <t>01033810-39b1-401b-94e8-71a15ff61d49</t>
  </si>
  <si>
    <t>Dr. Cristobal Villa</t>
  </si>
  <si>
    <t>linda75@hotmail.com</t>
  </si>
  <si>
    <t>27c73c7b-510b-4161-81d3-83559a1ad5b1</t>
  </si>
  <si>
    <t>Federico Guillermina Vargas</t>
  </si>
  <si>
    <t>bernardo49@gmail.com</t>
  </si>
  <si>
    <t>7ba0efb4-239e-4695-a171-7e53a2d5321c</t>
  </si>
  <si>
    <t>Dr. Abel Salcedo</t>
  </si>
  <si>
    <t>marisoltijerina@gmail.com</t>
  </si>
  <si>
    <t>38bac1f5-8a77-4803-a105-2adcca972ed6</t>
  </si>
  <si>
    <t>Ernesto Cavazos</t>
  </si>
  <si>
    <t>eloisaaragon@candelaria.org</t>
  </si>
  <si>
    <t>1c737d8d-798a-48ec-948e-46c132c3393f</t>
  </si>
  <si>
    <t>Emilia Federico Altamirano</t>
  </si>
  <si>
    <t>laboyleonor@yahoo.com</t>
  </si>
  <si>
    <t>fa3bf710-eb5a-4873-893c-d6a73dc7c4f9</t>
  </si>
  <si>
    <t>Mtro. Alfredo de la Fuente</t>
  </si>
  <si>
    <t>dblanco@club.com</t>
  </si>
  <si>
    <t>93eed3fe-4660-4b73-ac92-7b7bf72ad00f</t>
  </si>
  <si>
    <t>Helena Salvador Alba</t>
  </si>
  <si>
    <t>indira82@miramontes-menendez.biz</t>
  </si>
  <si>
    <t>ff3bf349-be3d-4ed5-a05d-026306680047</t>
  </si>
  <si>
    <t>Alonso Ignacio Hidalgo Montes</t>
  </si>
  <si>
    <t>emiliano86@gmail.com</t>
  </si>
  <si>
    <t>50ca8d12-6f3b-4d72-852c-ddb04e41ecb0</t>
  </si>
  <si>
    <t>Espartaco Esperanza Armenta Gaitan</t>
  </si>
  <si>
    <t>escobedoilse@proyectos.biz</t>
  </si>
  <si>
    <t>3ee7965a-242b-453a-bf95-82e9c7bb26d1</t>
  </si>
  <si>
    <t>Ivonne Georgina Arenas</t>
  </si>
  <si>
    <t>vmadrigal@bravo.com</t>
  </si>
  <si>
    <t>60fe9134-df81-46f3-ad0a-16da706fecac</t>
  </si>
  <si>
    <t>Mayte Muro</t>
  </si>
  <si>
    <t>florencia21@hotmail.com</t>
  </si>
  <si>
    <t>69e33745-af53-42a9-8a08-ab9b741268f8</t>
  </si>
  <si>
    <t>Amelia Baca</t>
  </si>
  <si>
    <t>seguralinda@gmail.com</t>
  </si>
  <si>
    <t>54181b0d-ea89-4121-a212-605c632d4222</t>
  </si>
  <si>
    <t>Irene Saldivar</t>
  </si>
  <si>
    <t>isabel20@macias.org</t>
  </si>
  <si>
    <t>df7beeeb-1466-45c0-b687-7861cff4c459</t>
  </si>
  <si>
    <t>Ángel Davila</t>
  </si>
  <si>
    <t>lomelivictoria@alvarez-olivo.org</t>
  </si>
  <si>
    <t>4466335e-c645-4d4b-a152-4044038bf97c</t>
  </si>
  <si>
    <t>Ing. Amanda Prado</t>
  </si>
  <si>
    <t>ursulaespinoza@de.info</t>
  </si>
  <si>
    <t>a60e107a-d3cc-46c7-9a8e-b0aa9cfa7817</t>
  </si>
  <si>
    <t>Berta Tania Méndez Lebron</t>
  </si>
  <si>
    <t>clozada@vela.biz</t>
  </si>
  <si>
    <t>569d9a75-753b-41b8-9540-1368ec0acbe5</t>
  </si>
  <si>
    <t>Guillermo Diana Curiel Verdugo</t>
  </si>
  <si>
    <t>sara48@gmail.com</t>
  </si>
  <si>
    <t>f76306ca-536d-4c20-8a36-77c9fc49afc0</t>
  </si>
  <si>
    <t>Hilda Vergara Tirado</t>
  </si>
  <si>
    <t>martin48@farias-huerta.com</t>
  </si>
  <si>
    <t>d8b5d3e5-0632-4dbf-9b3c-2094a15de8e8</t>
  </si>
  <si>
    <t>Camilo Eric Medina</t>
  </si>
  <si>
    <t>bernaberenteria@hotmail.com</t>
  </si>
  <si>
    <t>89fcd453-c6b3-469a-96fa-b54ec64f874f</t>
  </si>
  <si>
    <t>Emilio Campos Grijalva</t>
  </si>
  <si>
    <t>ojaimes@yahoo.com</t>
  </si>
  <si>
    <t>4c0c62c7-01f1-4c1a-be44-12a93c7d2e39</t>
  </si>
  <si>
    <t>Monica Cristal Chacon Candelaria</t>
  </si>
  <si>
    <t>sierravictoria@yahoo.com</t>
  </si>
  <si>
    <t>838f9377-c59f-4f9a-a769-8126696776e4</t>
  </si>
  <si>
    <t>Emiliano Violeta Anguiano Paz</t>
  </si>
  <si>
    <t>verdugooswaldo@industrias.org</t>
  </si>
  <si>
    <t>0c6b7809-83fa-4fe8-ae0d-766b000834e5</t>
  </si>
  <si>
    <t>Oswaldo Trujillo Torrez</t>
  </si>
  <si>
    <t>bravodiego@zayas.info</t>
  </si>
  <si>
    <t>873e756f-1f4a-4de6-90ff-4cb697b1e8fe</t>
  </si>
  <si>
    <t>Nadia Pérez Medina</t>
  </si>
  <si>
    <t>eduardo52@grupo.info</t>
  </si>
  <si>
    <t>a5740e45-38d1-421a-8d38-8a6d427463c6</t>
  </si>
  <si>
    <t>José Luis Ana María Robledo Cortés</t>
  </si>
  <si>
    <t>liliana23@despacho.com</t>
  </si>
  <si>
    <t>055f940c-62c7-485e-a8a9-6e6970c4bd9d</t>
  </si>
  <si>
    <t>Ing. Bruno Miranda</t>
  </si>
  <si>
    <t>villarealana-luisa@aviles.org</t>
  </si>
  <si>
    <t>2a34b394-3a83-4acf-a98b-738080cc0de3</t>
  </si>
  <si>
    <t>Barbara Urrutia Palacios</t>
  </si>
  <si>
    <t>peresguadalupe@laboratorios.info</t>
  </si>
  <si>
    <t>b138908b-b0cd-458c-9da0-707f94b0ffcd</t>
  </si>
  <si>
    <t>Ivan Amaya</t>
  </si>
  <si>
    <t>leticiajurado@yahoo.com</t>
  </si>
  <si>
    <t>f055f3a8-2041-4c8b-a2df-fc620ea22103</t>
  </si>
  <si>
    <t>Alma Leonel Morales Anguiano</t>
  </si>
  <si>
    <t>de-la-cruzisabel@grupo.com</t>
  </si>
  <si>
    <t>3f395849-b4c1-4e2b-9b2f-e88f10b94e05</t>
  </si>
  <si>
    <t>David José Luis Espinosa Alonso</t>
  </si>
  <si>
    <t>karlavillegas@urias.com</t>
  </si>
  <si>
    <t>fdba0744-ad19-42dc-a09e-8fc306cf7732</t>
  </si>
  <si>
    <t>Alonso Gutiérrez Gonzales</t>
  </si>
  <si>
    <t>vdavila@gmail.com</t>
  </si>
  <si>
    <t>8ea7037d-ea94-41a9-96b7-83c29d8264c3</t>
  </si>
  <si>
    <t>Lic. Luz de la Garza</t>
  </si>
  <si>
    <t>esparta94@gmail.com</t>
  </si>
  <si>
    <t>b76b9aa0-31e3-4e6d-905f-d7fc227d629a</t>
  </si>
  <si>
    <t>Alonso Paola Rocha</t>
  </si>
  <si>
    <t>ujasso@olivares.com</t>
  </si>
  <si>
    <t>8588db90-3e5f-471e-8500-c89cbc6d1623</t>
  </si>
  <si>
    <t>Andrea Almaraz Barajas</t>
  </si>
  <si>
    <t>feliperolon@hotmail.com</t>
  </si>
  <si>
    <t>2f83c135-17e5-4888-8b31-f505c0170e5e</t>
  </si>
  <si>
    <t>Natalia Carmen Madrid</t>
  </si>
  <si>
    <t>jaimerenteria@despacho.com</t>
  </si>
  <si>
    <t>30697ee3-c6f1-4277-b269-c3c951095f84</t>
  </si>
  <si>
    <t xml:space="preserve">Auriculares-Con cable-32GB </t>
  </si>
  <si>
    <t>Bruno Hernan Rivero</t>
  </si>
  <si>
    <t>noemirivera@hotmail.com</t>
  </si>
  <si>
    <t>8018872a-4ec4-4b51-8563-8d9d85f09396</t>
  </si>
  <si>
    <t>Sessa Blanco</t>
  </si>
  <si>
    <t>navarretenelly@yahoo.com</t>
  </si>
  <si>
    <t>b5b62540-d5f3-4cd3-bdd3-48312389c2db</t>
  </si>
  <si>
    <t>Mtro. Alberto Calvillo</t>
  </si>
  <si>
    <t>carvajalesmeralda@gmail.com</t>
  </si>
  <si>
    <t>ac1d0457-8737-4d32-adc3-08dc6711b75b</t>
  </si>
  <si>
    <t>Patricio Abigail Meza</t>
  </si>
  <si>
    <t>ocasiofrancisco-javier@yahoo.com</t>
  </si>
  <si>
    <t>8a373805-0041-447e-8540-70bded3c26c5</t>
  </si>
  <si>
    <t>María Renato Ochoa Aguilera</t>
  </si>
  <si>
    <t>pde-jesus@yahoo.com</t>
  </si>
  <si>
    <t>aeae3ab8-cc1b-48bb-8dc8-c1ece4d21277</t>
  </si>
  <si>
    <t>María Gonzalez</t>
  </si>
  <si>
    <t>zoeguevara@hotmail.com</t>
  </si>
  <si>
    <t>3820b6cc-8345-41e5-85aa-bd7f843a64c7</t>
  </si>
  <si>
    <t>Dalia Cornelio Treviño de la O</t>
  </si>
  <si>
    <t>rvillanueva@gmail.com</t>
  </si>
  <si>
    <t>86e77ae0-7bda-40b1-a21d-bd010a7db5de</t>
  </si>
  <si>
    <t>Soledad Yeni Gonzales</t>
  </si>
  <si>
    <t>marco-antonioverduzco@yahoo.com</t>
  </si>
  <si>
    <t>27424277-2200-4cc7-a0af-4c423a089f4b</t>
  </si>
  <si>
    <t>Benito Montañez</t>
  </si>
  <si>
    <t>etoledo@gmail.com</t>
  </si>
  <si>
    <t>32755cad-98f9-4eda-8888-7def2a0dd965</t>
  </si>
  <si>
    <t>Abril Rolando Cardona</t>
  </si>
  <si>
    <t>estefania56@marrero.com</t>
  </si>
  <si>
    <t>1e7c8a1d-abaf-4fac-be1b-22c8312a6026</t>
  </si>
  <si>
    <t>Paola Leyva Maestas</t>
  </si>
  <si>
    <t>reynaldogaribay@hotmail.com</t>
  </si>
  <si>
    <t>dafa21d9-a2ea-4867-b143-31f8243c024c</t>
  </si>
  <si>
    <t>Diana Garza Alfaro</t>
  </si>
  <si>
    <t>igalvez@teran-pizarro.net</t>
  </si>
  <si>
    <t>fd7d838f-61fb-4072-8a90-c3d1b393f61b</t>
  </si>
  <si>
    <t>Silvano Alvaro Enríquez Pineda</t>
  </si>
  <si>
    <t>gonzalocarrero@proyectos.com</t>
  </si>
  <si>
    <t>9643a7f2-7f1e-4f3a-b67a-e4db4ac513f7</t>
  </si>
  <si>
    <t>Trinidad Holguín Bustamante</t>
  </si>
  <si>
    <t>uarroyo@manzanares.biz</t>
  </si>
  <si>
    <t>009ae06d-cf99-467d-9ca4-a01697f72e27</t>
  </si>
  <si>
    <t>Carmen Elvira Medina</t>
  </si>
  <si>
    <t>esparta21@yahoo.com</t>
  </si>
  <si>
    <t>922204f6-79f1-49ba-ab4c-25b2f7427397</t>
  </si>
  <si>
    <t>Karla Amelia Garrido Zedillo</t>
  </si>
  <si>
    <t>abril49@yahoo.com</t>
  </si>
  <si>
    <t>5d45490d-e212-40da-9db3-7fe81d466e5d</t>
  </si>
  <si>
    <t>Victoria Galvan</t>
  </si>
  <si>
    <t>cornejocornelio@despacho.org</t>
  </si>
  <si>
    <t>c95e92f7-8dde-45fb-8837-d183a4786431</t>
  </si>
  <si>
    <t>Sr(a). Juana Rangel</t>
  </si>
  <si>
    <t>salvador03@gmail.com</t>
  </si>
  <si>
    <t>165472a7-d6ca-4fd8-9f05-0a98ddac11f5</t>
  </si>
  <si>
    <t>Conchita Barrientos Olvera</t>
  </si>
  <si>
    <t>elvira67@grijalva.com</t>
  </si>
  <si>
    <t>03e2d336-f9ca-4b38-a731-4fc42de09dfd</t>
  </si>
  <si>
    <t>Mtro. Débora Escamilla</t>
  </si>
  <si>
    <t>malaveluz@yahoo.com</t>
  </si>
  <si>
    <t>1e54c09b-4c64-4a56-be8d-61e1318d7de9</t>
  </si>
  <si>
    <t>Blanca Galarza</t>
  </si>
  <si>
    <t>del-vallenatividad@zuniga-carrasco.com</t>
  </si>
  <si>
    <t>67b79c05-b522-4593-8812-0d7f9fe8aead</t>
  </si>
  <si>
    <t>Dr. Isabela Amador</t>
  </si>
  <si>
    <t>maria-teresa56@valle.com</t>
  </si>
  <si>
    <t>2a1cc810-f23f-44be-ad5d-2c2061de3b67</t>
  </si>
  <si>
    <t>Ivan Fuentes Fierro</t>
  </si>
  <si>
    <t>indiraarroyo@gmail.com</t>
  </si>
  <si>
    <t>94019fc0-5f8a-4f46-b07d-b18f9ed2fb2d</t>
  </si>
  <si>
    <t>Omar Nelly Gamboa</t>
  </si>
  <si>
    <t>vcervantez@matos-villagomez.biz</t>
  </si>
  <si>
    <t>acec8856-d263-466f-b05c-84bd5b847fc1</t>
  </si>
  <si>
    <t>Eloy Jaime Mercado Roldan</t>
  </si>
  <si>
    <t>jose-manuel14@madera-arenas.com</t>
  </si>
  <si>
    <t>54483220-8340-4be3-b6c6-51347b1f367c</t>
  </si>
  <si>
    <t>Gregorio Cristal Amaya Zelaya</t>
  </si>
  <si>
    <t>oliviamaestas@club.biz</t>
  </si>
  <si>
    <t>f4ecf59b-ae01-485b-a05f-b80aa788d151</t>
  </si>
  <si>
    <t>José Carlos Rojo Paez</t>
  </si>
  <si>
    <t>beatriz73@yahoo.com</t>
  </si>
  <si>
    <t>6f429ee1-fdee-4a46-88b6-217e010bf7ca</t>
  </si>
  <si>
    <t>Nayeli Abrego</t>
  </si>
  <si>
    <t>julio55@yahoo.com</t>
  </si>
  <si>
    <t>f6a4c26a-3865-4f58-99c7-07d8e2ca6da0</t>
  </si>
  <si>
    <t>Asuncion Rebeca Rivero</t>
  </si>
  <si>
    <t>rosalia18@gmail.com</t>
  </si>
  <si>
    <t>dba5fcd9-c9cd-46ba-a785-12d580ffe57a</t>
  </si>
  <si>
    <t>Sr(a). Armando Carreon</t>
  </si>
  <si>
    <t>del-vallejorge@paz.biz</t>
  </si>
  <si>
    <t>018fc11e-35bf-41a6-9c2e-0fe1cb9dcb9b</t>
  </si>
  <si>
    <t>Inés Griego Lemus</t>
  </si>
  <si>
    <t>de-andavicente@robles.com</t>
  </si>
  <si>
    <t>14ad0f9b-ea8e-437c-b3d9-d3b4ddd90518</t>
  </si>
  <si>
    <t>Santiago Perla Carrero</t>
  </si>
  <si>
    <t>maderaoliver@yahoo.com</t>
  </si>
  <si>
    <t>6a2ef805-75fa-4c53-b30f-57c35a82c2a4</t>
  </si>
  <si>
    <t>Benjamín Octavio Gaona</t>
  </si>
  <si>
    <t>armando09@gmail.com</t>
  </si>
  <si>
    <t>b4335591-8cf2-4447-be7b-0390e7645fec</t>
  </si>
  <si>
    <t>Dr. Lucas Barela</t>
  </si>
  <si>
    <t>antoniabarela@despacho.net</t>
  </si>
  <si>
    <t>f0651ccf-cec5-4eb0-881b-198e786e21cc</t>
  </si>
  <si>
    <t>Dr. Adela Alcala</t>
  </si>
  <si>
    <t>ymayorga@gmail.com</t>
  </si>
  <si>
    <t>b402f6a3-5340-4177-a05b-5f6189a1ccf6</t>
  </si>
  <si>
    <t>Magdalena Carlota Pérez</t>
  </si>
  <si>
    <t>wulloa@industrias.com</t>
  </si>
  <si>
    <t>76479ec1-d623-4c0b-afe8-94ed5d2b1841</t>
  </si>
  <si>
    <t>Silvano Villanueva Alcaraz</t>
  </si>
  <si>
    <t>nunezmanuel@yahoo.com</t>
  </si>
  <si>
    <t>da98ee54-efa1-4a37-a44f-16e69c8a3769</t>
  </si>
  <si>
    <t>Blanca Gabriela Arenas</t>
  </si>
  <si>
    <t>ltapia@hotmail.com</t>
  </si>
  <si>
    <t>53cd2e8b-92e5-4411-a0ca-9f936ff0be49</t>
  </si>
  <si>
    <t>Natividad Fernando Gastélum</t>
  </si>
  <si>
    <t>ibarraza@hotmail.com</t>
  </si>
  <si>
    <t>30a44076-ebcc-4c8b-8064-9e1a18718512</t>
  </si>
  <si>
    <t xml:space="preserve">Laptop-Gaming-4GB </t>
  </si>
  <si>
    <t>Víctor Anguiano</t>
  </si>
  <si>
    <t>felipede-la-rosa@arredondo-hinojosa.net</t>
  </si>
  <si>
    <t>74e91e22-a440-4514-996c-da314a1c94c0</t>
  </si>
  <si>
    <t>Ofelia Francisco Javier Rojas</t>
  </si>
  <si>
    <t>reinasegovia@hotmail.com</t>
  </si>
  <si>
    <t>915c486d-4ef1-4e6b-953c-b179a8d2ba80</t>
  </si>
  <si>
    <t>Ing. Marcela Linares</t>
  </si>
  <si>
    <t>noriegasara@uribe.com</t>
  </si>
  <si>
    <t>294b26f6-bf81-4c20-9d69-4b0d99e6fdc0</t>
  </si>
  <si>
    <t>Lic. Cristobal Ortega</t>
  </si>
  <si>
    <t>halfaro@despacho.com</t>
  </si>
  <si>
    <t>b73ffa14-dae4-45da-b61f-6c3f7f80a89e</t>
  </si>
  <si>
    <t>Fidel Mateo Parra Ulloa</t>
  </si>
  <si>
    <t>cardonapascual@industrias.info</t>
  </si>
  <si>
    <t>348f55a1-ec49-4749-b0f2-d28f1d6587c1</t>
  </si>
  <si>
    <t>Ing. Esteban Curiel</t>
  </si>
  <si>
    <t>juliavergara@barraza.info</t>
  </si>
  <si>
    <t>6d6dc8da-1c46-48a9-9864-d6731b144bc7</t>
  </si>
  <si>
    <t>Gabino Barrera Quiroz</t>
  </si>
  <si>
    <t>razoraul@yahoo.com</t>
  </si>
  <si>
    <t>02858336-ce07-4437-8326-04e65dd55fe4</t>
  </si>
  <si>
    <t>Ing. Georgina Preciado</t>
  </si>
  <si>
    <t>jmacias@salazar.com</t>
  </si>
  <si>
    <t>fa63cc57-bb9c-4785-aff8-0c7c326b44bd</t>
  </si>
  <si>
    <t>José Eduardo Conchita Barrientos Pulido</t>
  </si>
  <si>
    <t>hector75@despacho.org</t>
  </si>
  <si>
    <t>45b7faf6-5799-4708-8c79-9b6b478ccfc3</t>
  </si>
  <si>
    <t>Lucía Irma Zúñiga</t>
  </si>
  <si>
    <t>quirozcristina@hotmail.com</t>
  </si>
  <si>
    <t>03e4dd2e-3e51-4d0d-a880-eb30ad369498</t>
  </si>
  <si>
    <t>Gilberto Mitzy Aguirre Macías</t>
  </si>
  <si>
    <t>adelafierro@resendez.com</t>
  </si>
  <si>
    <t>853315fd-3f57-4c4d-b1c0-63876571d6be</t>
  </si>
  <si>
    <t xml:space="preserve">Tablet-Pro-4GB </t>
  </si>
  <si>
    <t>Ing. Catalina Montenegro</t>
  </si>
  <si>
    <t>socorrocolunga@rosales-caraballo.com</t>
  </si>
  <si>
    <t>0b7c1304-c2c5-4050-9b73-fd7e7c4c1936</t>
  </si>
  <si>
    <t>Alicia Agustín Piña</t>
  </si>
  <si>
    <t>melgarbenjamin@laboratorios.com</t>
  </si>
  <si>
    <t>586df37b-bacf-4952-94e8-20049c50d537</t>
  </si>
  <si>
    <t xml:space="preserve">  Guadalajara</t>
  </si>
  <si>
    <t>Karla Pineda Arriaga</t>
  </si>
  <si>
    <t>acabrera@yahoo.com</t>
  </si>
  <si>
    <t>35bff7d1-834a-47b1-8627-e9ce0847bae9</t>
  </si>
  <si>
    <t>Marco Antonio Mercado Henríquez</t>
  </si>
  <si>
    <t>grobledo@gmail.com</t>
  </si>
  <si>
    <t>6c9a8394-7c0d-49dd-814c-cdca8e78dbd5</t>
  </si>
  <si>
    <t>Sr(a). Jos Venegas</t>
  </si>
  <si>
    <t>qguajardo@gmail.com</t>
  </si>
  <si>
    <t>f6a5ccaa-f8db-4293-9b11-932f3470afdf</t>
  </si>
  <si>
    <t>Ana María Verdugo Pichardo</t>
  </si>
  <si>
    <t>epaez@yahoo.com</t>
  </si>
  <si>
    <t>1cc3a12d-c04b-4839-a053-31d0fce65570</t>
  </si>
  <si>
    <t>Omar Casares Benavídez</t>
  </si>
  <si>
    <t>humberto17@tapia.com</t>
  </si>
  <si>
    <t>be2593fe-882a-47b4-84fb-96d56973714b</t>
  </si>
  <si>
    <t>Mario Fidel Laureano Castro</t>
  </si>
  <si>
    <t>amadorgarza@yahoo.com</t>
  </si>
  <si>
    <t>e00df3f6-aa51-4a6d-bf1d-36462af123a2</t>
  </si>
  <si>
    <t>Hilda Razo Lerma</t>
  </si>
  <si>
    <t>salvadorsuarez@gmail.com</t>
  </si>
  <si>
    <t>5eb1511c-6bde-49b4-b1e9-39aeeca914bc</t>
  </si>
  <si>
    <t>José Emilio Herrera Sanabria</t>
  </si>
  <si>
    <t>silviafrias@hotmail.com</t>
  </si>
  <si>
    <t>43bdd060-f236-479e-81bb-97be1c5dc7be</t>
  </si>
  <si>
    <t>Marisol Veronica Velasquez</t>
  </si>
  <si>
    <t>lilianaamaya@rangel.com</t>
  </si>
  <si>
    <t>c331b5bf-7dc0-44f3-bbc6-33242970d6bd</t>
  </si>
  <si>
    <t>Sr(a). Alta  Gracia Espino</t>
  </si>
  <si>
    <t>montanoreina@navarrete-botello.net</t>
  </si>
  <si>
    <t>2c43e82b-a86a-44f0-a9c7-359db0ff3d83</t>
  </si>
  <si>
    <t>Laura Baez</t>
  </si>
  <si>
    <t>ivonnearmendariz@club.com</t>
  </si>
  <si>
    <t>7a27100e-236d-45f0-952e-b7c838d737a2</t>
  </si>
  <si>
    <t>Mateo Raúl Sosa Arreola</t>
  </si>
  <si>
    <t>asuncionquintero@hotmail.com</t>
  </si>
  <si>
    <t>25b223d6-04b8-478f-9246-79edbe8738eb</t>
  </si>
  <si>
    <t>Aldo Fonseca</t>
  </si>
  <si>
    <t>dpolanco@industrias.com</t>
  </si>
  <si>
    <t>8ccc7ee3-b4a6-404a-9faf-787343dc06f2</t>
  </si>
  <si>
    <t>Abigail Castillo</t>
  </si>
  <si>
    <t>flavio50@proyectos.com</t>
  </si>
  <si>
    <t>4d39c9a6-3193-454d-9981-2f01cdfb6409</t>
  </si>
  <si>
    <t>Hilda Monica Acuña Zedillo</t>
  </si>
  <si>
    <t>lhidalgo@yahoo.com</t>
  </si>
  <si>
    <t>6d865eac-7ee1-4c9f-bf09-98a0163a585b</t>
  </si>
  <si>
    <t>Mauricio Oquendo Bustos</t>
  </si>
  <si>
    <t>yalba@corporacin.com</t>
  </si>
  <si>
    <t>36d91d20-825b-4909-9326-ca55a5ba261f</t>
  </si>
  <si>
    <t>Hernan Rael</t>
  </si>
  <si>
    <t>omarin@grupo.info</t>
  </si>
  <si>
    <t>ce0567fa-7e48-43a0-a5b7-07aa5cc439d0</t>
  </si>
  <si>
    <t>Esther Duran</t>
  </si>
  <si>
    <t>canalesgraciela@merino.net</t>
  </si>
  <si>
    <t>302bfa8d-a0d2-49bf-ba0e-92515d5d4911</t>
  </si>
  <si>
    <t>Lourdes Reyes Valladares</t>
  </si>
  <si>
    <t>calderontania@hotmail.com</t>
  </si>
  <si>
    <t>32a2277a-2bbc-47d0-9874-fcd6195b5e16</t>
  </si>
  <si>
    <t>Elias Dulce Figueroa</t>
  </si>
  <si>
    <t>ycabrera@yahoo.com</t>
  </si>
  <si>
    <t>261f24e0-0c30-40fa-92d3-3c013d335e1f</t>
  </si>
  <si>
    <t>Cristal Leticia Varela Soliz</t>
  </si>
  <si>
    <t>marisoldiaz@gmail.com</t>
  </si>
  <si>
    <t>bc41d301-8342-4b13-a0a6-0094760ae37b</t>
  </si>
  <si>
    <t>Martín Sara Verduzco</t>
  </si>
  <si>
    <t>susanarodrigez@granado-mora.com</t>
  </si>
  <si>
    <t>b21c5672-3d61-481e-bd82-6e363e042060</t>
  </si>
  <si>
    <t>Rodrigo Yeni Avilés</t>
  </si>
  <si>
    <t>juan-carlos48@del.info</t>
  </si>
  <si>
    <t>fa21bde8-c128-4e66-83c3-a35891b527e7</t>
  </si>
  <si>
    <t>Eugenia Zambrano Casas</t>
  </si>
  <si>
    <t>esteban25@hotmail.com</t>
  </si>
  <si>
    <t>ae03b614-5581-49d6-bb73-db61d22a7b6c</t>
  </si>
  <si>
    <t>Dr. Felix Pizarro</t>
  </si>
  <si>
    <t>elena24@despacho.info</t>
  </si>
  <si>
    <t>eec053a4-5ae1-415f-b30f-845523ab472b</t>
  </si>
  <si>
    <t>Araceli Ulloa Blanco</t>
  </si>
  <si>
    <t>flaviorivera@gmail.com</t>
  </si>
  <si>
    <t>a5a9edd5-c2b3-4542-ac87-c882564547e6</t>
  </si>
  <si>
    <t>Espartaco Arguello Bustamante</t>
  </si>
  <si>
    <t>oscararmas@grupo.com</t>
  </si>
  <si>
    <t>ed2a25dc-7b7a-4810-9252-9fa56521ff40</t>
  </si>
  <si>
    <t>Noelia Leon Sanches</t>
  </si>
  <si>
    <t>fidelvazquez@estrada.info</t>
  </si>
  <si>
    <t>15c297bf-5d8e-4902-b9f9-0205a370b77e</t>
  </si>
  <si>
    <t>Frida Arroyo Zepeda</t>
  </si>
  <si>
    <t>enriquevarela@yahoo.com</t>
  </si>
  <si>
    <t>48fa08f3-3f1d-41d4-98c7-9d364159c3ee</t>
  </si>
  <si>
    <t>Norma Celia Leiva Bañuelos</t>
  </si>
  <si>
    <t>fridalopez@mena.com</t>
  </si>
  <si>
    <t>a487c1e9-95f4-4b1d-b9e1-8ce364aaa62c</t>
  </si>
  <si>
    <t>Timoteo Cynthia Cordero</t>
  </si>
  <si>
    <t>hugocedillo@gmail.com</t>
  </si>
  <si>
    <t>b5d4423c-9255-4859-8feb-44a8655b46a4</t>
  </si>
  <si>
    <t>Dr. Rolando Mares</t>
  </si>
  <si>
    <t>mercadohilda@gmail.com</t>
  </si>
  <si>
    <t>5199a25e-ee56-4e1f-9c71-21f24998e8fc</t>
  </si>
  <si>
    <t>Jorge Luis Baca</t>
  </si>
  <si>
    <t>egalindo@gmail.com</t>
  </si>
  <si>
    <t>2f12cb9e-2010-490d-9bfa-31410ba27433</t>
  </si>
  <si>
    <t>Jacobo Centeno Velazquez</t>
  </si>
  <si>
    <t>ninosilvano@montano-rodriquez.com</t>
  </si>
  <si>
    <t>495441f0-2d83-4d9c-aafc-5c80643ab7b5</t>
  </si>
  <si>
    <t>Octavio Madrid Acevedo</t>
  </si>
  <si>
    <t>jhernadez@yahoo.com</t>
  </si>
  <si>
    <t>32cbf6b2-5cd5-4174-8a02-005124de47a9</t>
  </si>
  <si>
    <t>Eric Bonilla</t>
  </si>
  <si>
    <t>sarabiakarla@gmail.com</t>
  </si>
  <si>
    <t>5c493940-b957-429c-b2c2-6378fa0e9e7b</t>
  </si>
  <si>
    <t>Adan Ana Ornelas Samaniego</t>
  </si>
  <si>
    <t>de-jesusnatividad@santana.com</t>
  </si>
  <si>
    <t>d6516497-6c06-4709-8da9-2fbc709d5c67</t>
  </si>
  <si>
    <t>Serafín Antonio Fonseca</t>
  </si>
  <si>
    <t>karinacarrera@mascarenas.info</t>
  </si>
  <si>
    <t>b6857111-61b8-43f5-8981-c8ec006f2fb9</t>
  </si>
  <si>
    <t>Mitzy Noelia Ramos Menchaca</t>
  </si>
  <si>
    <t>montezmicaela@laboratorios.org</t>
  </si>
  <si>
    <t>1801df3c-96b3-4e4a-be9c-19777e295ccd</t>
  </si>
  <si>
    <t>Clara del Valle</t>
  </si>
  <si>
    <t>carlotacastro@yahoo.com</t>
  </si>
  <si>
    <t>af657191-85e9-4afd-94e6-b34adf3aa8e2</t>
  </si>
  <si>
    <t>Olga Georgina Iglesias</t>
  </si>
  <si>
    <t>jrobledo@proyectos.org</t>
  </si>
  <si>
    <t>d7e693a3-06a8-4900-a649-17ebdc044442</t>
  </si>
  <si>
    <t>Jeronimo Palomino Lozano</t>
  </si>
  <si>
    <t>aguilarespartaco@luevano.com</t>
  </si>
  <si>
    <t>2d00fa46-ed9d-4a83-8d4f-00268740aa20</t>
  </si>
  <si>
    <t>Leonel Salcido</t>
  </si>
  <si>
    <t>carranzamaria-jose@yahoo.com</t>
  </si>
  <si>
    <t>b970ae82-fee0-482e-b413-b42d8439bc7e</t>
  </si>
  <si>
    <t>Margarita Olivas</t>
  </si>
  <si>
    <t>trujillosantiago@club.com</t>
  </si>
  <si>
    <t>82c801f7-86fa-465e-b47e-1a2faca2409f</t>
  </si>
  <si>
    <t>Nicolas Martín Baez</t>
  </si>
  <si>
    <t>alfredosamaniego@grupo.info</t>
  </si>
  <si>
    <t>3be08974-31f2-40c3-afb9-3a240fd500b5</t>
  </si>
  <si>
    <t>Ing. José Benavídez</t>
  </si>
  <si>
    <t>cejamarisol@proyectos.com</t>
  </si>
  <si>
    <t>eb22a1ca-e765-4386-9637-b65cff10da6f</t>
  </si>
  <si>
    <t>Alma Paola Godoy</t>
  </si>
  <si>
    <t>amadorzoe@proyectos.info</t>
  </si>
  <si>
    <t>e9aad92b-b3bc-438a-9893-00066fab9810</t>
  </si>
  <si>
    <t>Íliver Téllez</t>
  </si>
  <si>
    <t>ysaldivar@perales.com</t>
  </si>
  <si>
    <t>92e1c1ff-b495-49b7-a5b5-d0aeb1d04194</t>
  </si>
  <si>
    <t>María Cristina Amelia Rosario Trujillo</t>
  </si>
  <si>
    <t>fjasso@hotmail.com</t>
  </si>
  <si>
    <t>4b28f4e5-d521-4d6e-94a1-2e2d06559b71</t>
  </si>
  <si>
    <t>Indira Orozco Cuellar</t>
  </si>
  <si>
    <t>esthersantacruz@gmail.com</t>
  </si>
  <si>
    <t>a2ab5f05-64d9-4b5f-a606-40a5bd1bb17c</t>
  </si>
  <si>
    <t>Carmen Curiel Samaniego</t>
  </si>
  <si>
    <t>warellano@hotmail.com</t>
  </si>
  <si>
    <t>cb8f4dea-863b-4651-a226-6e0dec00b253</t>
  </si>
  <si>
    <t>Augusto Adan Niño</t>
  </si>
  <si>
    <t>karla73@yahoo.com</t>
  </si>
  <si>
    <t>4f0f1770-3af6-4b65-a5e9-61a996e12a76</t>
  </si>
  <si>
    <t>Abigail Mayorga</t>
  </si>
  <si>
    <t>elviraalva@sandoval.net</t>
  </si>
  <si>
    <t>48f1f9b2-e5c3-45db-9c35-dba3af2b3e37</t>
  </si>
  <si>
    <t>Gilberto Hernan Murillo</t>
  </si>
  <si>
    <t>lgracia@corporacin.com</t>
  </si>
  <si>
    <t>39f5457f-dcd1-4ade-baf5-0b5ac2798271</t>
  </si>
  <si>
    <t>Camila María Teresa Reyna Lucero</t>
  </si>
  <si>
    <t>bde-la-torre@hotmail.com</t>
  </si>
  <si>
    <t>8d5984e4-42c5-40ea-a6b1-0829494656fe</t>
  </si>
  <si>
    <t>Lic. Ana Luisa Montalvo</t>
  </si>
  <si>
    <t>pedrobaeza@caban.com</t>
  </si>
  <si>
    <t>0a48305d-5c9c-4afa-9ee6-8e31efd58718</t>
  </si>
  <si>
    <t>Juan Carlos Teresa Giron Sosa</t>
  </si>
  <si>
    <t>reynaldo69@gmail.com</t>
  </si>
  <si>
    <t>c52c3f64-0bf6-4119-ab4d-0c0c46049424</t>
  </si>
  <si>
    <t>Roberto Mateo Hurtado Leon</t>
  </si>
  <si>
    <t>sperales@hotmail.com</t>
  </si>
  <si>
    <t>0332c3e0-2f25-4dfd-ad14-79f12be80567</t>
  </si>
  <si>
    <t>Isabela Mario Vigil Colunga</t>
  </si>
  <si>
    <t>wde-la-rosa@club.com</t>
  </si>
  <si>
    <t>ddd463db-888b-4ab8-b2a7-396cacbc0f7c</t>
  </si>
  <si>
    <t>Karina Núñez</t>
  </si>
  <si>
    <t>laura43@yahoo.com</t>
  </si>
  <si>
    <t>650656a9-a043-47bc-ae91-0380ba19f6d1</t>
  </si>
  <si>
    <t>Wilfrido Daniela Alonso Gaytan</t>
  </si>
  <si>
    <t>norma09@hotmail.com</t>
  </si>
  <si>
    <t>63edf886-6d4d-489d-a1a2-e321304707b2</t>
  </si>
  <si>
    <t>Mtro. Emilia Rolon</t>
  </si>
  <si>
    <t>alicia10@yahoo.com</t>
  </si>
  <si>
    <t>3773bcf2-e766-445f-90a8-279d0bd1b1ae</t>
  </si>
  <si>
    <t>María Maximiliano Ochoa</t>
  </si>
  <si>
    <t>zramos@bahena-maya.info</t>
  </si>
  <si>
    <t>8f691093-3270-4ace-ae7f-f6404f3e9c97</t>
  </si>
  <si>
    <t>Uriel Montes Contreras</t>
  </si>
  <si>
    <t>fserrano@vela.com</t>
  </si>
  <si>
    <t>ab896c73-e2a6-4dc5-922f-889ab750954e</t>
  </si>
  <si>
    <t>Gerardo Sauceda</t>
  </si>
  <si>
    <t>patinoadan@sanchez.biz</t>
  </si>
  <si>
    <t>e8b495a0-823c-484a-8e06-d1bdd07a0b5f</t>
  </si>
  <si>
    <t>Ernesto Quezada</t>
  </si>
  <si>
    <t>qcastellanos@partida-valles.com</t>
  </si>
  <si>
    <t>89cde298-9d2d-459e-ac2a-33f1db2b8db1</t>
  </si>
  <si>
    <t>Abraham Israel Cortés Gaitan</t>
  </si>
  <si>
    <t>maria-luisacaraballo@garcia-betancourt.com</t>
  </si>
  <si>
    <t>e14300c1-3569-475f-a547-4c787f5cf604</t>
  </si>
  <si>
    <t>Humberto Yeni Ceballos</t>
  </si>
  <si>
    <t>rgomez@gmail.com</t>
  </si>
  <si>
    <t>5532c3c2-1fd2-4b63-a93a-fe0891b55345</t>
  </si>
  <si>
    <t>Eugenio Almonte</t>
  </si>
  <si>
    <t>kescamilla@garza-olivares.com</t>
  </si>
  <si>
    <t>b5bf5404-1040-4584-9e23-bd9aa4a748c4</t>
  </si>
  <si>
    <t>Sr(a). María Navarrete</t>
  </si>
  <si>
    <t>valverdeadalberto@bernal-arellano.com</t>
  </si>
  <si>
    <t>d079bbf1-e637-4020-8ca5-6bb2c45c34f9</t>
  </si>
  <si>
    <t>Raquel Crespo Carrion</t>
  </si>
  <si>
    <t>flaviorosado@yahoo.com</t>
  </si>
  <si>
    <t>7896d226-252e-4fbf-902d-719da7aaaf24</t>
  </si>
  <si>
    <t>Jonas Peña</t>
  </si>
  <si>
    <t>rzavala@yahoo.com</t>
  </si>
  <si>
    <t>71b6157e-f3ed-4bd0-83ed-fc382c96bff0</t>
  </si>
  <si>
    <t>Emilio Almaraz</t>
  </si>
  <si>
    <t>avera@yahoo.com</t>
  </si>
  <si>
    <t>72bb2e02-f0ab-4425-ad19-83e3487dfc79</t>
  </si>
  <si>
    <t>Rafaél Gerardo Serrato</t>
  </si>
  <si>
    <t>ballesterosvioleta@gallardo-jiminez.biz</t>
  </si>
  <si>
    <t>f778848a-1ec7-484b-a619-98ff8730961f</t>
  </si>
  <si>
    <t>Claudia Suarez Galvan</t>
  </si>
  <si>
    <t>nietohilda@yahoo.com</t>
  </si>
  <si>
    <t>008ee7b3-7786-4b09-b979-9ae857581c91</t>
  </si>
  <si>
    <t>Pascual Treviño</t>
  </si>
  <si>
    <t>mariafernandez@gmail.com</t>
  </si>
  <si>
    <t>1de0d9e2-fea5-4f41-858a-b4d39e7e4657</t>
  </si>
  <si>
    <t>Yeni Diego Mateo Irizarry</t>
  </si>
  <si>
    <t>esthervillalobos@covarrubias-montalvo.net</t>
  </si>
  <si>
    <t>5e0eecec-2dab-48b7-a609-0fd963d1d90a</t>
  </si>
  <si>
    <t>Dr. Eugenia Jaquez</t>
  </si>
  <si>
    <t>graya@quintero.com</t>
  </si>
  <si>
    <t>24b8ae05-3a27-4a1d-b704-94fbf52b7e78</t>
  </si>
  <si>
    <t>Jorge Bernardo Ávalos</t>
  </si>
  <si>
    <t>silvano60@velasco.com</t>
  </si>
  <si>
    <t>e13367f1-7d08-4bb3-a252-f1741f4928d8</t>
  </si>
  <si>
    <t>Gabriela Aida Chapa</t>
  </si>
  <si>
    <t>ycolon@gmail.com</t>
  </si>
  <si>
    <t>b343399a-8398-43c0-a157-92dd7a44f5c7</t>
  </si>
  <si>
    <t>Aurora Amador Mendoza Prieto</t>
  </si>
  <si>
    <t>margarita69@grupo.net</t>
  </si>
  <si>
    <t>45698812-aa8b-4fea-b214-81743c8c3e1d</t>
  </si>
  <si>
    <t>Ing. Mitzy de la Rosa</t>
  </si>
  <si>
    <t>larajesus@industrias.com</t>
  </si>
  <si>
    <t>2c42cc7e-a16c-4dc9-ae59-89dbe94c5127</t>
  </si>
  <si>
    <t>German Crespo Leyva</t>
  </si>
  <si>
    <t>pamela15@yahoo.com</t>
  </si>
  <si>
    <t>0514f6bb-c61e-409d-8985-bc35bb86f4af</t>
  </si>
  <si>
    <t>Salma Andrés Montañez</t>
  </si>
  <si>
    <t>anel13@yahoo.com</t>
  </si>
  <si>
    <t>3b41356a-51cc-450b-9098-9b6959c32336</t>
  </si>
  <si>
    <t>Cynthia Oswaldo Olvera</t>
  </si>
  <si>
    <t>carbajaldulce-maria@club.info</t>
  </si>
  <si>
    <t>496f9895-2148-475d-9da8-8846db1a0d2e</t>
  </si>
  <si>
    <t>Amador Íscar Orellana</t>
  </si>
  <si>
    <t>rojohector@gmail.com</t>
  </si>
  <si>
    <t>f10d3d99-9f63-4b93-a89a-94e952ffcf1c</t>
  </si>
  <si>
    <t>Isabela Cortez</t>
  </si>
  <si>
    <t>aalmaraz@yahoo.com</t>
  </si>
  <si>
    <t>18b6e7f0-7f1c-4914-ab72-945d8d766ba6</t>
  </si>
  <si>
    <t>Sr(a). Magdalena Bustamante</t>
  </si>
  <si>
    <t>jose-eduardo38@hotmail.com</t>
  </si>
  <si>
    <t>9fd5d30c-2b67-444a-b0bd-e6ce0c2a3c03</t>
  </si>
  <si>
    <t>Roberto Aleman Duarte</t>
  </si>
  <si>
    <t>gabriela38@gmail.com</t>
  </si>
  <si>
    <t>a9af6b62-1d3a-42df-99e5-230a527f9cf6</t>
  </si>
  <si>
    <t>Mauricio Horacio Marín</t>
  </si>
  <si>
    <t>lopezdiana@gmail.com</t>
  </si>
  <si>
    <t>d3e4b4f5-0e5d-46c7-a6d9-b15a09e90033</t>
  </si>
  <si>
    <t>Porfirio Lorenzo Cordero</t>
  </si>
  <si>
    <t>pugasilvano@gmail.com</t>
  </si>
  <si>
    <t>6b289530-390b-4fbc-a2f2-7adff1dc65eb</t>
  </si>
  <si>
    <t>Raquel Domínguez Vanegas</t>
  </si>
  <si>
    <t>victor71@hotmail.com</t>
  </si>
  <si>
    <t>732de4a4-0325-4391-a400-19ffb39fdec9</t>
  </si>
  <si>
    <t>Paulina Peres Carmona</t>
  </si>
  <si>
    <t>granadobernabe@yahoo.com</t>
  </si>
  <si>
    <t>df271a81-4486-42c3-b66a-88accdba843d</t>
  </si>
  <si>
    <t>Agustín Montemayor Escobedo</t>
  </si>
  <si>
    <t>mojicajudith@sauceda-mendez.com</t>
  </si>
  <si>
    <t>d1dd5a1a-3f08-4909-b8b0-04384056d29b</t>
  </si>
  <si>
    <t>Patricio Citlali Rico Jurado</t>
  </si>
  <si>
    <t>pvalencia@marin.com</t>
  </si>
  <si>
    <t>55359418-5f6c-4f2b-9e70-525bf3b5c143</t>
  </si>
  <si>
    <t>Blanca Juan Carlos Sisneros</t>
  </si>
  <si>
    <t>ariadna06@espino.org</t>
  </si>
  <si>
    <t>1a8c7e9d-606f-43dc-9e8a-38707414cb60</t>
  </si>
  <si>
    <t>Sr(a). Monica Montañez</t>
  </si>
  <si>
    <t>znegron@hotmail.com</t>
  </si>
  <si>
    <t>b132b519-abc7-45bf-afcb-a51cf812697a</t>
  </si>
  <si>
    <t>Ing. Nayeli del Valle</t>
  </si>
  <si>
    <t>esquibellucas@gmail.com</t>
  </si>
  <si>
    <t>e4d04092-1822-4155-841a-4386e1c16529</t>
  </si>
  <si>
    <t>Carlota Helena Cepeda</t>
  </si>
  <si>
    <t>bermudezleonor@reynoso.net</t>
  </si>
  <si>
    <t>6c36c1bb-60d5-43fc-9b1f-840f4136899c</t>
  </si>
  <si>
    <t>Lic. Hugo Polanco</t>
  </si>
  <si>
    <t>aldoescamilla@grupo.com</t>
  </si>
  <si>
    <t>570e94ce-b053-46a5-8a1e-1a663553c880</t>
  </si>
  <si>
    <t>Lic. Ricardo Coronado</t>
  </si>
  <si>
    <t>opaz@proyectos.net</t>
  </si>
  <si>
    <t>84862dcd-d58c-423c-99b1-8b1ee8b38e4e</t>
  </si>
  <si>
    <t>Israel Amaya</t>
  </si>
  <si>
    <t>oliverrenteria@rael-medrano.org</t>
  </si>
  <si>
    <t>73c9e2ed-d0e0-4b5c-92ac-e3a55014e974</t>
  </si>
  <si>
    <t>Paola Zarate</t>
  </si>
  <si>
    <t>marisolamador@gmail.com</t>
  </si>
  <si>
    <t>22971ca8-f21c-436b-84f8-11a2a2c20ff6</t>
  </si>
  <si>
    <t>Hugo Orellana Aguilera</t>
  </si>
  <si>
    <t>luztejeda@carrion.biz</t>
  </si>
  <si>
    <t>e2689eed-d7a5-4b39-a1e0-7b6894376ce5</t>
  </si>
  <si>
    <t>Claudio Anguiano Suarez</t>
  </si>
  <si>
    <t>cintronmanuel@gmail.com</t>
  </si>
  <si>
    <t>f8f7bac5-22e3-4fcd-8c93-90375d23c11b</t>
  </si>
  <si>
    <t>Caridad Frida Villarreal</t>
  </si>
  <si>
    <t>homero86@segura.com</t>
  </si>
  <si>
    <t>41673c52-8873-43f3-b016-36a8c4e22ead</t>
  </si>
  <si>
    <t>Mariano Cruz</t>
  </si>
  <si>
    <t>velasquezandres@laboratorios.com</t>
  </si>
  <si>
    <t>d28fd44c-05cd-4575-a1d4-081b8663b676</t>
  </si>
  <si>
    <t>Nelly Vaca Santana</t>
  </si>
  <si>
    <t>lermaespartaco@yahoo.com</t>
  </si>
  <si>
    <t>38689b3f-5f78-4f2d-8f10-c3c9cd750a01</t>
  </si>
  <si>
    <t>Luisa Eugenio Vasquez Aleman</t>
  </si>
  <si>
    <t>xcamacho@gmail.com</t>
  </si>
  <si>
    <t>c1fae86b-bd50-4387-a36c-f6dd0feee517</t>
  </si>
  <si>
    <t>Leonel Noelia Solís</t>
  </si>
  <si>
    <t>fviera@farias.info</t>
  </si>
  <si>
    <t>342d4b10-ea36-4f9d-a345-cbb571e1445f</t>
  </si>
  <si>
    <t>Pascual Gracia Robles</t>
  </si>
  <si>
    <t>teodorogarrido@barragan.biz</t>
  </si>
  <si>
    <t>1b8b26e6-8632-4b38-8f73-c6f0e70ccf60</t>
  </si>
  <si>
    <t>Lorenzo Rafaél Morales Valles</t>
  </si>
  <si>
    <t>zoe02@yahoo.com</t>
  </si>
  <si>
    <t>346d7c42-eb45-461e-a667-5669781129fb</t>
  </si>
  <si>
    <t>Adan Prado</t>
  </si>
  <si>
    <t>mesaursula@barragan-chapa.com</t>
  </si>
  <si>
    <t>2613eb8c-73dd-4b40-8ff0-7cf4fa29b165</t>
  </si>
  <si>
    <t>Caridad Ojeda</t>
  </si>
  <si>
    <t>xlozano@godoy.com</t>
  </si>
  <si>
    <t>636e2a36-d8c0-4ac8-b15e-52b5f9b2507b</t>
  </si>
  <si>
    <t>Elsa Alonso Almanza</t>
  </si>
  <si>
    <t>felix81@madrid-samaniego.com</t>
  </si>
  <si>
    <t>d7b9f594-a51e-4402-948d-437dc2679714</t>
  </si>
  <si>
    <t>Julia Baeza</t>
  </si>
  <si>
    <t>leticiaduarte@yahoo.com</t>
  </si>
  <si>
    <t>09c37b10-c227-4f88-9c6a-eb146d381382</t>
  </si>
  <si>
    <t>Linda Tomas Cuellar</t>
  </si>
  <si>
    <t>guerrahernan@hotmail.com</t>
  </si>
  <si>
    <t>4181125d-2bd6-43ef-b4f7-d88b503ebcc9</t>
  </si>
  <si>
    <t>Lic. Vanesa Enríquez</t>
  </si>
  <si>
    <t>kponce@yahoo.com</t>
  </si>
  <si>
    <t>c039c16a-b7e7-4616-8b5d-dbc120a30d24</t>
  </si>
  <si>
    <t>Mario Gilberto Torrez</t>
  </si>
  <si>
    <t>zeferinomadera@ramos.org</t>
  </si>
  <si>
    <t>bea55d48-ca8e-4a5e-81da-22d3ae44e9a0</t>
  </si>
  <si>
    <t>Clara Echeverría</t>
  </si>
  <si>
    <t>jluevano@grupo.org</t>
  </si>
  <si>
    <t>d6c6c3cb-6cf5-40a9-b8d5-65640f8dab1c</t>
  </si>
  <si>
    <t>Lorena Jacinto Limon</t>
  </si>
  <si>
    <t>rtejeda@pelayo.net</t>
  </si>
  <si>
    <t>60d79197-fd4c-4a31-a577-d7d861b32c67</t>
  </si>
  <si>
    <t>Asuncion Maximiliano Baca Ramírez</t>
  </si>
  <si>
    <t>amayalucas@roque.biz</t>
  </si>
  <si>
    <t>6962b6a9-7e9b-4fc9-80fb-8d56c5243ad2</t>
  </si>
  <si>
    <t>Evelio Pilar Urbina</t>
  </si>
  <si>
    <t>cgallegos@vaca-bahena.net</t>
  </si>
  <si>
    <t>1f4ac01b-7a1a-4d64-ae6d-a13b0dd45606</t>
  </si>
  <si>
    <t>Aida Marrero</t>
  </si>
  <si>
    <t>juana18@yahoo.com</t>
  </si>
  <si>
    <t>84603ef1-6930-4a3e-b3f4-2e56b1a84398</t>
  </si>
  <si>
    <t>Benjamín Alejandra Zapata Zamudio</t>
  </si>
  <si>
    <t>bgranado@mata.biz</t>
  </si>
  <si>
    <t>d5d39d13-0c4d-4695-9fb3-6fbc66298a78</t>
  </si>
  <si>
    <t>Cristina Valentín Castillo</t>
  </si>
  <si>
    <t>npedraza@hotmail.com</t>
  </si>
  <si>
    <t>784aa491-3eb3-4b5e-858a-3b24918b10a1</t>
  </si>
  <si>
    <t>Yuridia Riojas Cotto</t>
  </si>
  <si>
    <t>nvaladez@yahoo.com</t>
  </si>
  <si>
    <t>c7ef43ee-8690-4aa4-9f03-8c8f2d905b35</t>
  </si>
  <si>
    <t>Hilda Corrales Ramon</t>
  </si>
  <si>
    <t>aldomarrero@hotmail.com</t>
  </si>
  <si>
    <t>582a5e26-8066-4160-aeff-a40ad4fe52e2</t>
  </si>
  <si>
    <t>Celia Cardona Griego</t>
  </si>
  <si>
    <t>luiscastellanos@club.com</t>
  </si>
  <si>
    <t>dac9f21c-448d-4f16-bcea-f8eb66b827c1</t>
  </si>
  <si>
    <t>Elvira Marisol Reyes Alfaro</t>
  </si>
  <si>
    <t>carlotaacevedo@benavidez.com</t>
  </si>
  <si>
    <t>a07f9aa3-2d4a-44b5-983f-9e8c4f941136</t>
  </si>
  <si>
    <t>Miguel Romo</t>
  </si>
  <si>
    <t>barbara15@laboratorios.info</t>
  </si>
  <si>
    <t>c3bb3562-c65e-4e05-bfb3-9df465d18c89</t>
  </si>
  <si>
    <t>Cristian Mercedes Rubio Medrano</t>
  </si>
  <si>
    <t>armando76@grupo.net</t>
  </si>
  <si>
    <t>9e9a947c-796d-4653-bc4d-b777a5aa5e38</t>
  </si>
  <si>
    <t>Dr. Fabiola Galindo</t>
  </si>
  <si>
    <t>asuncion98@yahoo.com</t>
  </si>
  <si>
    <t>a8b647c7-bcba-44a0-8e1a-6b49fad5f46a</t>
  </si>
  <si>
    <t>Susana Juarez</t>
  </si>
  <si>
    <t>marthabaez@gmail.com</t>
  </si>
  <si>
    <t>dca0f25c-824a-4634-827c-d385dafa7123</t>
  </si>
  <si>
    <t>Jos Mariana Cano</t>
  </si>
  <si>
    <t>oraya@laboratorios.com</t>
  </si>
  <si>
    <t>f2788526-390a-447d-aadf-5ad11ba53e76</t>
  </si>
  <si>
    <t>Ana Luisa Araceli de la Crúz</t>
  </si>
  <si>
    <t>jimenezirma@vega-mena.com</t>
  </si>
  <si>
    <t>720e7c71-4c87-47e1-b24a-7f8c021bc9a3</t>
  </si>
  <si>
    <t>Dr. Evelio Rosario</t>
  </si>
  <si>
    <t>xreyna@yahoo.com</t>
  </si>
  <si>
    <t>c6fe3646-36da-4379-b9d4-1237b3932c67</t>
  </si>
  <si>
    <t>Sr(a). Genaro Paz</t>
  </si>
  <si>
    <t>esmeraldadavila@laureano.net</t>
  </si>
  <si>
    <t>b8257a06-d0a6-4198-b8a6-7c4130b98420</t>
  </si>
  <si>
    <t>Francisco Javier Blanca Serrato</t>
  </si>
  <si>
    <t>montanezluis-miguel@industrias.com</t>
  </si>
  <si>
    <t>688bf8b0-b0ea-4f26-96a2-bf0bf26b0c06</t>
  </si>
  <si>
    <t>María Teresa Citlali Negrete</t>
  </si>
  <si>
    <t>nayeli04@villagomez-salcido.com</t>
  </si>
  <si>
    <t>f6d11075-7912-4e6a-b081-b8502c35c2e8</t>
  </si>
  <si>
    <t>Eric Joaquín Navarrete</t>
  </si>
  <si>
    <t>emiliano90@zayas-valentin.com</t>
  </si>
  <si>
    <t>2cd50550-d603-41b2-a403-b06bf90f402c</t>
  </si>
  <si>
    <t>Adalberto Nayeli Villarreal Davila</t>
  </si>
  <si>
    <t>raulbarela@barrera-najera.org</t>
  </si>
  <si>
    <t>8e4ddf27-be01-4cd2-bc4a-4045e7298017</t>
  </si>
  <si>
    <t>Mtro. Josefina Miramontes</t>
  </si>
  <si>
    <t>veronicaalarcon@gmail.com</t>
  </si>
  <si>
    <t>89a9fe2d-5336-4fdd-98cc-119f72686d97</t>
  </si>
  <si>
    <t>Gonzalo Rascon</t>
  </si>
  <si>
    <t>hilda61@grupo.info</t>
  </si>
  <si>
    <t>632f3ed9-ab81-468b-93d0-16a797a5d1c7</t>
  </si>
  <si>
    <t>Cristina Barbara de la Rosa</t>
  </si>
  <si>
    <t>jaramilloanabel@gmail.com</t>
  </si>
  <si>
    <t>5407753d-0304-48ca-9ea9-d8bbfb643e29</t>
  </si>
  <si>
    <t>Ing. David Valencia</t>
  </si>
  <si>
    <t>wmolina@yahoo.com</t>
  </si>
  <si>
    <t>f3c3146d-5022-4c1a-8a7c-38632c504802</t>
  </si>
  <si>
    <t>Amanda José Eduardo Rolon</t>
  </si>
  <si>
    <t>ochoaasuncion@gmail.com</t>
  </si>
  <si>
    <t>a73cd6f4-c471-4e0a-9570-af0860e0c5d1</t>
  </si>
  <si>
    <t>Antonia Borrego</t>
  </si>
  <si>
    <t>bcotto@hotmail.com</t>
  </si>
  <si>
    <t>9569ccbc-bd8e-4611-8386-71eeb9e0963f</t>
  </si>
  <si>
    <t>Pamela Magdalena Pantoja Sisneros</t>
  </si>
  <si>
    <t>vanesa92@gmail.com</t>
  </si>
  <si>
    <t>8ade79e6-11e9-4fba-b189-eb3b62f4cbd6</t>
  </si>
  <si>
    <t>Jorge Luis María Calderon Valdivia</t>
  </si>
  <si>
    <t>arceliagracia@ramos-carrillo.com</t>
  </si>
  <si>
    <t>590172c6-7ce0-48b6-82b2-7436a3631331</t>
  </si>
  <si>
    <t>Leonel Cruz Enríquez</t>
  </si>
  <si>
    <t>marmas@gmail.com</t>
  </si>
  <si>
    <t>a49f90f7-8839-4571-8758-445882bf113d</t>
  </si>
  <si>
    <t>Dr. Alonso Lucero</t>
  </si>
  <si>
    <t>villegasalejandra@gmail.com</t>
  </si>
  <si>
    <t>46930688-ab22-4f38-922e-c8bdee972554</t>
  </si>
  <si>
    <t>Liliana Altamirano Solano</t>
  </si>
  <si>
    <t>caraballosocorro@grupo.com</t>
  </si>
  <si>
    <t>20d27746-91f7-427d-9e21-02ca06d5e5c3</t>
  </si>
  <si>
    <t>Alejandro Rodrigo Guillen Paredes</t>
  </si>
  <si>
    <t>mitzynevarez@barrientos-roque.com</t>
  </si>
  <si>
    <t>cb2352c0-8796-4ebd-84d7-33203546a4cb</t>
  </si>
  <si>
    <t>Inés Meza Campos</t>
  </si>
  <si>
    <t>mariano56@gmail.com</t>
  </si>
  <si>
    <t>42475c68-ebdf-44e9-8ae2-152388b5d345</t>
  </si>
  <si>
    <t>Mauricio José Luis Arroyo Mascareñas</t>
  </si>
  <si>
    <t>cristalfernandez@avalos-puga.org</t>
  </si>
  <si>
    <t>f10d9e5e-78e5-42f9-984f-478745f93fb9</t>
  </si>
  <si>
    <t>Ofelia Suarez</t>
  </si>
  <si>
    <t>mauricio18@preciado-acuna.com</t>
  </si>
  <si>
    <t>e7e6c336-1e49-4295-a6a2-d4acf044ce4d</t>
  </si>
  <si>
    <t>Armando Ángela Juarez</t>
  </si>
  <si>
    <t>marco-antonio11@proyectos.org</t>
  </si>
  <si>
    <t>31d353ab-28f4-4ab9-8b40-a16ebfc9742a</t>
  </si>
  <si>
    <t>Citlali Pantoja</t>
  </si>
  <si>
    <t>raulzayas@gmail.com</t>
  </si>
  <si>
    <t>4c7d52b9-0e48-4e31-bcf4-e5fd45e48176</t>
  </si>
  <si>
    <t>Ing. Anabel Carreon</t>
  </si>
  <si>
    <t>moraclara@hotmail.com</t>
  </si>
  <si>
    <t>700aef49-fe52-4fd6-8401-bbfa8ba48024</t>
  </si>
  <si>
    <t>Íscar Cadena Valle</t>
  </si>
  <si>
    <t>corneliohidalgo@hotmail.com</t>
  </si>
  <si>
    <t>dffbee9b-2a20-4916-9f32-44754d3fae5d</t>
  </si>
  <si>
    <t>Samuel Esteban Caraballo Balderas</t>
  </si>
  <si>
    <t>eugeniocano@yahoo.com</t>
  </si>
  <si>
    <t>7262df37-0083-41ed-b686-43f93dc8ea21</t>
  </si>
  <si>
    <t>Ana María Pichardo Sepúlveda</t>
  </si>
  <si>
    <t>partidaisrael@ramon.info</t>
  </si>
  <si>
    <t>4404f1db-09be-4f2c-92f0-2d65ee6b0394</t>
  </si>
  <si>
    <t>Mayte Acevedo Viera</t>
  </si>
  <si>
    <t>umayorga@yahoo.com</t>
  </si>
  <si>
    <t>c7da08b2-c581-41ed-8398-757d407a24ef</t>
  </si>
  <si>
    <t>Trinidad Badillo</t>
  </si>
  <si>
    <t>coronadomodesto@hotmail.com</t>
  </si>
  <si>
    <t>698672ae-dbbd-4086-a5f7-90c3dfe00ff8</t>
  </si>
  <si>
    <t>Yuridia Rubén Armendariz</t>
  </si>
  <si>
    <t>claudia24@industrias.com</t>
  </si>
  <si>
    <t>9e945271-543f-4b06-a34e-b1dfcd6b8450</t>
  </si>
  <si>
    <t>Carolina Clara Cotto</t>
  </si>
  <si>
    <t>tamezjacinto@bravo.info</t>
  </si>
  <si>
    <t>9d189c13-ff1e-411f-93d3-ee251f727785</t>
  </si>
  <si>
    <t>Héctor José Luis Vaca</t>
  </si>
  <si>
    <t>ignaciocandelaria@merino.com</t>
  </si>
  <si>
    <t>a244bdbd-1394-4bdb-bbc3-e6fc452874c4</t>
  </si>
  <si>
    <t>Ana Alvarado Zambrano</t>
  </si>
  <si>
    <t>ppineda@hotmail.com</t>
  </si>
  <si>
    <t>ec0799d5-b19c-407d-9997-ef035cb093a4</t>
  </si>
  <si>
    <t>Jesús Burgos Ballesteros</t>
  </si>
  <si>
    <t>yeni67@hotmail.com</t>
  </si>
  <si>
    <t>117eebda-32b4-42cc-95e1-dc2c259fffa6</t>
  </si>
  <si>
    <t>Yolanda Joaquín Barela Méndez</t>
  </si>
  <si>
    <t>amandabarela@gmail.com</t>
  </si>
  <si>
    <t>d8cce44d-2d8e-494b-b543-022a5aa32bef</t>
  </si>
  <si>
    <t>Clemente Omar Olivo</t>
  </si>
  <si>
    <t>corralrolando@yahoo.com</t>
  </si>
  <si>
    <t>1d820555-0e65-4a21-b58e-10930e326e7b</t>
  </si>
  <si>
    <t>Marisela Zeferino Adame Ureña</t>
  </si>
  <si>
    <t>cintronjose-emilio@rascon-najera.com</t>
  </si>
  <si>
    <t>ed9aad8e-d0c1-4dda-a2ae-ab5809b7fd52</t>
  </si>
  <si>
    <t>Liliana Verduzco</t>
  </si>
  <si>
    <t>yamaya@yahoo.com</t>
  </si>
  <si>
    <t>75a62e15-6018-4f88-b473-5dd4eb79e63b</t>
  </si>
  <si>
    <t>Dolores Pablo Menéndez</t>
  </si>
  <si>
    <t>beatriz85@almanza-carrera.com</t>
  </si>
  <si>
    <t>2119f43d-1200-4439-ad32-eab189cb6475</t>
  </si>
  <si>
    <t>Héctor Luevano</t>
  </si>
  <si>
    <t>sergio69@laboratorios.com</t>
  </si>
  <si>
    <t>517b090a-2e73-4c68-aad4-180d1350b369</t>
  </si>
  <si>
    <t>Esteban José Emilio Polanco Valentín</t>
  </si>
  <si>
    <t>ariastrinidad@despacho.com</t>
  </si>
  <si>
    <t>7c10c6c6-9acd-42a2-b74c-041e173a74ff</t>
  </si>
  <si>
    <t>Federico Alfaro</t>
  </si>
  <si>
    <t>dmedina@gmail.com</t>
  </si>
  <si>
    <t>b847cf15-a430-4067-b4ba-2bca14b1ebd1</t>
  </si>
  <si>
    <t>Indira Brito</t>
  </si>
  <si>
    <t>galfaro@yahoo.com</t>
  </si>
  <si>
    <t>4b439440-bf95-4e0b-865c-32dff4dfe00b</t>
  </si>
  <si>
    <t>Mtro. Abelardo Ríos</t>
  </si>
  <si>
    <t>jaquelinecaban@muniz.info</t>
  </si>
  <si>
    <t>99b0e8dd-7174-4559-a628-143ef6d46608</t>
  </si>
  <si>
    <t>Íscar Ulloa Valdivia</t>
  </si>
  <si>
    <t>alvaro06@yahoo.com</t>
  </si>
  <si>
    <t>5150f58c-f863-4f35-bdd4-d6cfc1a1ef10</t>
  </si>
  <si>
    <t>Miguel Ángel Alberto Tamayo</t>
  </si>
  <si>
    <t>mitzy72@gmail.com</t>
  </si>
  <si>
    <t>5e092005-bbaf-4295-9ccc-3c9493b48d04</t>
  </si>
  <si>
    <t>Esmeralda Eugenia Ceja</t>
  </si>
  <si>
    <t>hruelas@gmail.com</t>
  </si>
  <si>
    <t>37a9f5be-b24a-4f6c-97bd-9b822a31fa1d</t>
  </si>
  <si>
    <t>Estela Alejandro Caballero</t>
  </si>
  <si>
    <t>olivia25@proyectos.com</t>
  </si>
  <si>
    <t>325642ee-2d8b-4a13-a954-d573be58d386</t>
  </si>
  <si>
    <t>David Prado</t>
  </si>
  <si>
    <t>fgamboa@yahoo.com</t>
  </si>
  <si>
    <t>86dddca7-94b8-407d-9b43-bb0906ba81e6</t>
  </si>
  <si>
    <t>Patricia Candelaria Ramon</t>
  </si>
  <si>
    <t>maria-del-carmen56@alonzo.com</t>
  </si>
  <si>
    <t>791a6835-1e53-4dab-9537-f28d07071087</t>
  </si>
  <si>
    <t>Marcos Alba Becerra</t>
  </si>
  <si>
    <t>emiliano63@gmail.com</t>
  </si>
  <si>
    <t>1d0dc58b-5630-4061-a4c4-8af444dd978f</t>
  </si>
  <si>
    <t>Marisela Preciado</t>
  </si>
  <si>
    <t>roblesmanuel@gmail.com</t>
  </si>
  <si>
    <t>3cd2ba34-59ca-4654-b969-558904dc2456</t>
  </si>
  <si>
    <t>Lic. Lorenzo Zaragoza</t>
  </si>
  <si>
    <t>zarguello@yahoo.com</t>
  </si>
  <si>
    <t>66a70af2-e06b-4866-8aaa-a2912c261d68</t>
  </si>
  <si>
    <t>Lic. Carmen Brito</t>
  </si>
  <si>
    <t>estefania59@club.com</t>
  </si>
  <si>
    <t>d035d687-44b0-4ce5-a8c5-2c6ad05a14b6</t>
  </si>
  <si>
    <t>Diego Nancy Madrid Cornejo</t>
  </si>
  <si>
    <t>velafabiola@hotmail.com</t>
  </si>
  <si>
    <t>69ab5c31-c863-41d0-94a7-8aa6b0126003</t>
  </si>
  <si>
    <t>Conchita Calvillo Alba</t>
  </si>
  <si>
    <t>sara71@lucero.com</t>
  </si>
  <si>
    <t>257f5799-af41-462b-b2f9-acae82ba412c</t>
  </si>
  <si>
    <t>Lic. Aurora Zamudio</t>
  </si>
  <si>
    <t>alta-gracia96@club.info</t>
  </si>
  <si>
    <t>d21d73fe-7b8a-4ddb-a473-47c717ebb087</t>
  </si>
  <si>
    <t>Leonor Cristina Concepcion</t>
  </si>
  <si>
    <t>murocynthia@club.info</t>
  </si>
  <si>
    <t>c6ebe95f-880f-4175-b857-173d436e2753</t>
  </si>
  <si>
    <t>Pamela Homero Arreola Godoy</t>
  </si>
  <si>
    <t>carolina12@valdes.com</t>
  </si>
  <si>
    <t>7a049296-c624-4bff-8f06-3b6b06011495</t>
  </si>
  <si>
    <t>Ruby Amador Quintero</t>
  </si>
  <si>
    <t>marianodelgadillo@proyectos.com</t>
  </si>
  <si>
    <t>7ce37500-a380-4f67-8cbb-04f3cb8e5cc8</t>
  </si>
  <si>
    <t>Mauro Meléndez</t>
  </si>
  <si>
    <t>patricia66@hotmail.com</t>
  </si>
  <si>
    <t>43c7bc6c-6c1b-481e-b0de-1a182eecc87e</t>
  </si>
  <si>
    <t>Ing. Georgina Murillo</t>
  </si>
  <si>
    <t>angel23@yahoo.com</t>
  </si>
  <si>
    <t>7a491145-3991-4010-a1e5-3b0f7d86b7e3</t>
  </si>
  <si>
    <t>Alejandra Roldan</t>
  </si>
  <si>
    <t>almafajardo@proyectos.com</t>
  </si>
  <si>
    <t>530801f5-4c88-4d00-b297-5944ebece83d</t>
  </si>
  <si>
    <t>Pilar Luisa Bonilla Garrido</t>
  </si>
  <si>
    <t>silviapabon@corporacin.com</t>
  </si>
  <si>
    <t>403acb42-0f8a-41c6-b42a-d1adc4b62bfb</t>
  </si>
  <si>
    <t>Bernabé Zaragoza</t>
  </si>
  <si>
    <t>htorrez@despacho.com</t>
  </si>
  <si>
    <t>f652769b-e1e8-44a1-8f3d-6f80c1ac3f13</t>
  </si>
  <si>
    <t>Armando Monica Reyna</t>
  </si>
  <si>
    <t>bravofrancisco@gmail.com</t>
  </si>
  <si>
    <t>c29d00e9-6a9a-45f0-b194-a343ff209570</t>
  </si>
  <si>
    <t>Dr. José Manuél Candelaria</t>
  </si>
  <si>
    <t>gabriel22@pineda-villarreal.info</t>
  </si>
  <si>
    <t>ece1df7a-ba2b-48cc-9d1f-e8d8a307a1c6</t>
  </si>
  <si>
    <t>Estela Ivan Figueroa</t>
  </si>
  <si>
    <t>maria-del-carmenramos@hotmail.com</t>
  </si>
  <si>
    <t>0e8a03cd-16fb-4487-accf-bc309a83a97e</t>
  </si>
  <si>
    <t>María Luisa Cardenas Montemayor</t>
  </si>
  <si>
    <t>rgarza@castellanos-cedillo.net</t>
  </si>
  <si>
    <t>d337811c-59ff-494c-9e71-77b6282c296c</t>
  </si>
  <si>
    <t>Dr. José Eduardo Moreno</t>
  </si>
  <si>
    <t>pbarrera@gmail.com</t>
  </si>
  <si>
    <t>017b54f8-9568-458c-be6a-2127e15e3349</t>
  </si>
  <si>
    <t>Mtro. Órsula Palacios</t>
  </si>
  <si>
    <t>violetaorta@hotmail.com</t>
  </si>
  <si>
    <t>8d755bac-229c-4065-93f5-cba971acb014</t>
  </si>
  <si>
    <t>Nadia Canales Núñez</t>
  </si>
  <si>
    <t>miriam44@bravo.com</t>
  </si>
  <si>
    <t>0aaaf135-b356-4f2c-bdf2-f1df1f461081</t>
  </si>
  <si>
    <t>Dr. Estefanía Casas</t>
  </si>
  <si>
    <t>madridolga@yahoo.com</t>
  </si>
  <si>
    <t>1fc16a62-28d6-40bf-bd79-70a515ccaa32</t>
  </si>
  <si>
    <t>Dr. Íliver de Leon</t>
  </si>
  <si>
    <t>del-vallegabino@cornejo-valles.info</t>
  </si>
  <si>
    <t>123ae22b-bc9d-4228-96dc-fc15dfb19590</t>
  </si>
  <si>
    <t>Dr. María Eugenia Valdivia</t>
  </si>
  <si>
    <t>dvaladez@saldivar.biz</t>
  </si>
  <si>
    <t>66f10c57-ee31-4fe2-b3a9-4e88f49e1e71</t>
  </si>
  <si>
    <t>Eugenio Fernando Delgado</t>
  </si>
  <si>
    <t>zcamarillo@yahoo.com</t>
  </si>
  <si>
    <t>983f661d-1d5c-478c-aef5-611a679c13a6</t>
  </si>
  <si>
    <t>Modesto Rufino Mares Negron</t>
  </si>
  <si>
    <t>maytetovar@hotmail.com</t>
  </si>
  <si>
    <t>1f451643-e6fa-4d54-b03d-304b7a23b3e1</t>
  </si>
  <si>
    <t>Dr. Ariadna de Jesús</t>
  </si>
  <si>
    <t>monica51@gmail.com</t>
  </si>
  <si>
    <t>2394f979-8464-44ce-a630-ae28dbf2d042</t>
  </si>
  <si>
    <t>Jorge Luis Blanca Regalado Mora</t>
  </si>
  <si>
    <t>horaciourrutia@saucedo.com</t>
  </si>
  <si>
    <t>cce81a35-f0aa-40e7-a33d-43e447f74b34</t>
  </si>
  <si>
    <t>Beatriz Virginia Duarte Flores</t>
  </si>
  <si>
    <t>lmaldonado@yahoo.com</t>
  </si>
  <si>
    <t>d2226fcc-944b-4300-a358-816d2b168c5f</t>
  </si>
  <si>
    <t>Lic. Jorge Alva</t>
  </si>
  <si>
    <t>felipe48@proyectos.com</t>
  </si>
  <si>
    <t>d4d30727-21e7-45cf-abfd-68611006864c</t>
  </si>
  <si>
    <t>Zeferino Leon</t>
  </si>
  <si>
    <t>trujilloalonso@gmail.com</t>
  </si>
  <si>
    <t>b7681cb8-fbde-4312-ba1b-0c772e149e82</t>
  </si>
  <si>
    <t>María Teresa Ocasio Vera</t>
  </si>
  <si>
    <t>alvavioleta@grupo.com</t>
  </si>
  <si>
    <t>d9f6800f-10da-460e-b27e-bdbb10820a14</t>
  </si>
  <si>
    <t>Jesús Carreon</t>
  </si>
  <si>
    <t>victorialeal@hotmail.com</t>
  </si>
  <si>
    <t>dc08f2b8-94f2-4889-8156-0e3c3724d0ff</t>
  </si>
  <si>
    <t>Ramiro Adriana Botello</t>
  </si>
  <si>
    <t>wgarica@industrias.info</t>
  </si>
  <si>
    <t>0fcf615c-8bf9-42ad-9b7b-8c8dfce43c46</t>
  </si>
  <si>
    <t>Débora Alberto de Jesús Rodríguez</t>
  </si>
  <si>
    <t>josefinabueno@despacho.com</t>
  </si>
  <si>
    <t>bdb0c3e4-d084-49a5-a6b4-ba900b20e2ae</t>
  </si>
  <si>
    <t>Dr. Aida Perales</t>
  </si>
  <si>
    <t>abrilbadillo@hotmail.com</t>
  </si>
  <si>
    <t>3bd772bc-8bbc-41a0-b2df-bdeee19f3595</t>
  </si>
  <si>
    <t>Dalia Barrera</t>
  </si>
  <si>
    <t>ymendez@yahoo.com</t>
  </si>
  <si>
    <t>47c5d8d5-18ad-4bf9-80ad-542822b25aca</t>
  </si>
  <si>
    <t>Sr(a). Diego Adame</t>
  </si>
  <si>
    <t>hestevez@yahoo.com</t>
  </si>
  <si>
    <t>8dac1bb0-62a5-4b93-9f18-74bb64e1f8a8</t>
  </si>
  <si>
    <t>Guillermina Otero</t>
  </si>
  <si>
    <t>esmeraldaguajardo@yahoo.com</t>
  </si>
  <si>
    <t>6b2a6d67-9ca9-4751-9892-59fbd4257856</t>
  </si>
  <si>
    <t>Ing. Wilfrido Carranza</t>
  </si>
  <si>
    <t>sevillamicaela@villarreal.com</t>
  </si>
  <si>
    <t>7e9821f4-95d8-433f-958b-d88fd9985891</t>
  </si>
  <si>
    <t>Hilda Armando Padilla Castellanos</t>
  </si>
  <si>
    <t>zmejia@club.com</t>
  </si>
  <si>
    <t>36cbc08f-0000-4ac1-a306-2119638696af</t>
  </si>
  <si>
    <t>Sr(a). Socorro Jurado</t>
  </si>
  <si>
    <t>sepulvedacarlos@amaya-ortega.com</t>
  </si>
  <si>
    <t>e6cdf437-19fd-4174-9933-e60c7eb6eab2</t>
  </si>
  <si>
    <t>Pedro Eric Parra Palacios</t>
  </si>
  <si>
    <t>barrazacornelio@yahoo.com</t>
  </si>
  <si>
    <t>2ee16a28-cb66-41ad-9e11-480593b992f3</t>
  </si>
  <si>
    <t>Gilberto Fajardo Esquivel</t>
  </si>
  <si>
    <t>tvaldivia@alarcon.info</t>
  </si>
  <si>
    <t>5cfc2d19-d3e9-408a-82b3-9e72a480e588</t>
  </si>
  <si>
    <t>Oswaldo Magaña</t>
  </si>
  <si>
    <t>najerazeferino@hotmail.com</t>
  </si>
  <si>
    <t>4d3c7cfd-d33e-47a8-a31b-f2a694c31429</t>
  </si>
  <si>
    <t>Roberto María Cristina Madera Alejandro</t>
  </si>
  <si>
    <t>teodoro56@yahoo.com</t>
  </si>
  <si>
    <t>bfde20ee-a837-4bd7-af36-f9e5b40dfe3b</t>
  </si>
  <si>
    <t>María José Jacobo Perales Ortiz</t>
  </si>
  <si>
    <t>oliver93@hotmail.com</t>
  </si>
  <si>
    <t>ead07a50-6dc3-4997-a078-77b5ae38bb54</t>
  </si>
  <si>
    <t>Lic. Mateo Salazar</t>
  </si>
  <si>
    <t>aurora38@hotmail.com</t>
  </si>
  <si>
    <t>8d472941-b5df-4f80-b3a6-ece0e6978e8a</t>
  </si>
  <si>
    <t>Olivia Cristobal Oquendo Nieves</t>
  </si>
  <si>
    <t>vquesada@grupo.com</t>
  </si>
  <si>
    <t>99a8722a-ede3-4080-9d85-450687f17be6</t>
  </si>
  <si>
    <t>Ciudad corregida</t>
  </si>
  <si>
    <t>Categoría</t>
  </si>
  <si>
    <t>Tipo</t>
  </si>
  <si>
    <t>Especificaciones</t>
  </si>
  <si>
    <t xml:space="preserve"> </t>
  </si>
  <si>
    <t>Tablet</t>
  </si>
  <si>
    <t>Estándar</t>
  </si>
  <si>
    <t>8GB</t>
  </si>
  <si>
    <t>Auriculares</t>
  </si>
  <si>
    <t>Con cable</t>
  </si>
  <si>
    <t>32GB</t>
  </si>
  <si>
    <t>16GB</t>
  </si>
  <si>
    <t>Teléfono</t>
  </si>
  <si>
    <t>Gama alta</t>
  </si>
  <si>
    <t>Pro</t>
  </si>
  <si>
    <t>4GB</t>
  </si>
  <si>
    <t>Laptop</t>
  </si>
  <si>
    <t>Oficina</t>
  </si>
  <si>
    <t>Bluetooth</t>
  </si>
  <si>
    <t>Ultraliviana</t>
  </si>
  <si>
    <t>Mini</t>
  </si>
  <si>
    <t>Gama media</t>
  </si>
  <si>
    <t>Gaming</t>
  </si>
  <si>
    <t>Gama baja</t>
  </si>
  <si>
    <t>Cancelaci√≥n de ruido</t>
  </si>
  <si>
    <t>Cancelación de ruido</t>
  </si>
  <si>
    <t>Métricas</t>
  </si>
  <si>
    <t>Respuesta</t>
  </si>
  <si>
    <t>Ventas totales del trimestre</t>
  </si>
  <si>
    <t>Venta promedio por transacción</t>
  </si>
  <si>
    <t>Número total de transacciones</t>
  </si>
  <si>
    <t>Producto más vendido (por cantidad)</t>
  </si>
  <si>
    <t>tabletas</t>
  </si>
  <si>
    <t>Ciudad con las mayores ventas totales</t>
  </si>
  <si>
    <t>Mes con los mejores resultados</t>
  </si>
  <si>
    <t>Noviembre</t>
  </si>
  <si>
    <t>Precio promedio por categoría de producto</t>
  </si>
  <si>
    <t>Laptop        $1,300.55
Tablet        $1,271.98
Teléfono        $1,256.09
Auriculares        $1,245.16</t>
  </si>
  <si>
    <t>Resumen ejecutivo</t>
  </si>
  <si>
    <t>1. Limpieza</t>
  </si>
  <si>
    <t>Cantidad de datos duplicados</t>
  </si>
  <si>
    <t>Cantidad de filas con valor nulo en la columna `Precio unitario` y `Monto total`</t>
  </si>
  <si>
    <t>10 y 6</t>
  </si>
  <si>
    <t>2. Hallazgos principales</t>
  </si>
  <si>
    <t>Producto más vendido por cantidad</t>
  </si>
  <si>
    <t>Tableta</t>
  </si>
  <si>
    <t>Ciudad con mayor volumen de ventas totales</t>
  </si>
  <si>
    <t>Monterrey</t>
  </si>
  <si>
    <t>Recomendación</t>
  </si>
  <si>
    <t>Se sugiere realizar un análisis de inventario y rotación de stock en tulum para asegurar la disponibilidad de los productos líderes, junto con una campaña publicitaria geolocalizada en redes sociales. el objetivo es determinar si el bajo rendimiento se debe a problemas de suministro o a una baja penetración de marca en la región.</t>
  </si>
  <si>
    <t>3. Metodología de limpieza</t>
  </si>
  <si>
    <t>Problemas encontrados en los datos originales.</t>
  </si>
  <si>
    <t>Inconsistencia en nombres de ciudades: se estandarizó la escritura de las ciudades para agrupar los datos.
Formato de fecha incorrecto: se corrigieron las fechas mal escritas para permitir el análisis mensual.
Datos faltantes en monto tot: se completaron o eliminaron celdas vacías para no afectar los promedios.</t>
  </si>
  <si>
    <t>4. Limitaciones</t>
  </si>
  <si>
    <t>Información adicional requerida (si aplica)</t>
  </si>
  <si>
    <t>Falta de datos sobre costos de adquisición: no se cuenta con información sobre gastos de marketing, lo que impide calcular la rentabilidad real por ciudad.
Periodo de tiempo limitado: el análisis solo cubre un trimestre, por lo que no es posible identificar patrones estacionales anuales completos.
Ausencia de categorías de clientes: no hay datos demográficos (edad o género), lo que limita la creación de perfiles de consumidor específicos.
Falta de datos de inventario: no se sabe si las bajas ventas en ciudades como tulum se deben a falta de demanda o a falta de productos disponibles.
Inexistencia de feedback de clientes: se requiere información sobre satisfacción o devoluciones para entender la calidad del servicio postventa.</t>
  </si>
  <si>
    <t>SUM of Cantidad</t>
  </si>
  <si>
    <t>Grand Total</t>
  </si>
  <si>
    <r>
      <rPr>
        <rFont val="Arial"/>
        <b/>
        <color theme="1"/>
        <sz val="14.0"/>
      </rPr>
      <t xml:space="preserve">Hallazgo: </t>
    </r>
    <r>
      <rPr>
        <rFont val="Arial"/>
        <color theme="1"/>
        <sz val="14.0"/>
      </rPr>
      <t>Las tablets representan el mayor volumen de ventas por unidad (672 unidades), superando a las laptops y teléfonos. Esto indica que es el producto con mayor rotación y aceptación masiva en el catálogo.</t>
    </r>
  </si>
  <si>
    <r>
      <rPr>
        <rFont val="Arial"/>
        <b/>
        <color theme="1"/>
        <sz val="14.0"/>
      </rPr>
      <t xml:space="preserve">Recomendación: </t>
    </r>
    <r>
      <rPr>
        <rFont val="Arial"/>
        <color theme="1"/>
        <sz val="14.0"/>
      </rPr>
      <t>Se recomienda implementar una estrategia de "cross-selling" (venta cruzada) ofreciendo accesorios (como fundas o micas) en el carrito de compra de tablets, para aprovechar el alto tráfico de este producto y aumentar el ticket promedio.</t>
    </r>
  </si>
  <si>
    <t>SUM of Monto total</t>
  </si>
  <si>
    <t>Ciudad De Mexico</t>
  </si>
  <si>
    <t>Cali</t>
  </si>
  <si>
    <t>Bogotá</t>
  </si>
  <si>
    <t>Tulum</t>
  </si>
  <si>
    <t>Insight:</t>
  </si>
  <si>
    <t>Bajo rendimiento en tulum: con ventas de apenas $54,394, tulum representa el mercado más débil del trimestre. esta cifra es un 90% menor que la de monterrey, lo que indica un problema grave de presencia de marca o falta de disponibilidad de productos en la zona.</t>
  </si>
  <si>
    <r>
      <rPr>
        <rFont val="Arial"/>
        <b/>
        <color theme="1"/>
      </rPr>
      <t xml:space="preserve">Recomendación </t>
    </r>
    <r>
      <rPr>
        <rFont val="Arial"/>
        <color theme="1"/>
      </rPr>
      <t>específica para tulum: se recomienda realizar un "estudio de mercado de bajo costo" y una campaña publicitaria geolocalizada en redes sociales específica para tulum durante 30 días. el objetivo es determinar si la falta de ventas es por desconocimiento de ventaexpress o por una oferta de productos que no se adapta al perfil del cliente local.</t>
    </r>
  </si>
  <si>
    <t>Fecha de venta - Month</t>
  </si>
  <si>
    <t>Nov</t>
  </si>
  <si>
    <t>Oct</t>
  </si>
  <si>
    <t>Dec</t>
  </si>
  <si>
    <r>
      <rPr>
        <rFont val="Arial"/>
        <b/>
        <color theme="1"/>
        <sz val="14.0"/>
      </rPr>
      <t>Insights</t>
    </r>
    <r>
      <rPr>
        <rFont val="Arial"/>
        <color theme="1"/>
        <sz val="14.0"/>
      </rPr>
      <t>: Pico de ventas en noviembre: este fue el mes con mejor desempeño alcanzando $1,027,372,</t>
    </r>
  </si>
  <si>
    <r>
      <rPr>
        <rFont val="Arial"/>
        <b/>
        <color theme="1"/>
        <sz val="14.0"/>
      </rPr>
      <t>Recomendación</t>
    </r>
    <r>
      <rPr>
        <rFont val="Arial"/>
        <color theme="1"/>
        <sz val="14.0"/>
      </rPr>
      <t>: Se sugiere analizar qué promociones se aplicaron en noviembre para replicarlas en diciembre del próximo año, buscando evitar la caída de ventas y mantener el ritmo de ingresos por encima del millón de dólares.</t>
    </r>
  </si>
  <si>
    <t>AVERAGE of Precio unitario</t>
  </si>
  <si>
    <r>
      <rPr>
        <rFont val="Arial"/>
        <b/>
        <color theme="1"/>
        <sz val="14.0"/>
      </rPr>
      <t>Insights</t>
    </r>
    <r>
      <rPr>
        <rFont val="Arial"/>
        <color theme="1"/>
        <sz val="14.0"/>
      </rPr>
      <t>: Liderazgo en ticket promedio: la categoría de laptop presenta el precio unitario más alto con $1,300.55, consolidándose como el producto premium del catálogo.</t>
    </r>
  </si>
  <si>
    <r>
      <rPr>
        <rFont val="Arial"/>
        <b/>
        <color theme="1"/>
        <sz val="14.0"/>
      </rPr>
      <t>Recomendación</t>
    </r>
    <r>
      <rPr>
        <rFont val="Arial"/>
        <color theme="1"/>
        <sz val="14.0"/>
      </rPr>
      <t>: Se sugiere evaluar la introducción de una línea de accesorios económicos o de entrada, ya que el precio actual de los auriculares es casi tan alto como el de un teléfono, lo que podría estar limitando las ventas adicionales (upselling) a clientes con presupuestos más bajos.</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</si>
</sst>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quot;/&quot;yy"/>
    <numFmt numFmtId="165" formatCode="M/d/yyyy"/>
    <numFmt numFmtId="166" formatCode="&quot;$&quot;#,##0.00"/>
    <numFmt numFmtId="167" formatCode="m/d/yyyy h:mm:ss"/>
  </numFmts>
  <fonts count="13">
    <font>
      <sz val="12.0"/>
      <color theme="1"/>
      <name val="Aptos Narrow"/>
      <scheme val="minor"/>
    </font>
    <font>
      <sz val="12.0"/>
      <color theme="1"/>
      <name val="Aptos Narrow"/>
    </font>
    <font>
      <sz val="12.0"/>
      <color theme="1"/>
      <name val="Arial"/>
    </font>
    <font>
      <color theme="1"/>
      <name val="Aptos Narrow"/>
    </font>
    <font>
      <color theme="1"/>
      <name val="Arial"/>
    </font>
    <font>
      <color theme="1"/>
      <name val="Aptos Narrow"/>
      <scheme val="minor"/>
    </font>
    <font>
      <b/>
      <sz val="12.0"/>
      <color theme="1"/>
      <name val="Arial"/>
    </font>
    <font>
      <b/>
      <sz val="20.0"/>
      <color theme="1"/>
      <name val="Arial"/>
    </font>
    <font/>
    <font>
      <sz val="14.0"/>
      <color theme="1"/>
      <name val="Arial"/>
    </font>
    <font>
      <b/>
      <color theme="1"/>
      <name val="Aptos Narrow"/>
      <scheme val="minor"/>
    </font>
    <font>
      <b/>
      <color theme="1"/>
      <name val="Arial"/>
    </font>
    <font>
      <b/>
      <sz val="14.0"/>
      <color theme="1"/>
      <name val="Aptos Narrow"/>
      <scheme val="minor"/>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164" xfId="0" applyAlignment="1" applyFont="1" applyNumberFormat="1">
      <alignment horizontal="right" vertical="bottom"/>
    </xf>
    <xf borderId="0" fillId="0" fontId="1" numFmtId="0" xfId="0" applyAlignment="1" applyFont="1">
      <alignment vertical="bottom"/>
    </xf>
    <xf borderId="0" fillId="0" fontId="2" numFmtId="0" xfId="0" applyAlignment="1" applyFont="1">
      <alignment vertical="bottom"/>
    </xf>
    <xf borderId="0" fillId="0" fontId="1" numFmtId="4" xfId="0" applyAlignment="1" applyFont="1" applyNumberFormat="1">
      <alignment vertical="bottom"/>
    </xf>
    <xf borderId="0" fillId="0" fontId="1" numFmtId="0" xfId="0" applyAlignment="1" applyFont="1">
      <alignment horizontal="right" vertical="bottom"/>
    </xf>
    <xf borderId="0" fillId="0" fontId="1" numFmtId="4" xfId="0" applyAlignment="1" applyFont="1" applyNumberFormat="1">
      <alignment horizontal="right" vertical="bottom"/>
    </xf>
    <xf borderId="0" fillId="0" fontId="1" numFmtId="11" xfId="0" applyAlignment="1" applyFont="1" applyNumberFormat="1">
      <alignment vertical="bottom"/>
    </xf>
    <xf borderId="0" fillId="0" fontId="2" numFmtId="164" xfId="0" applyAlignment="1" applyFont="1" applyNumberFormat="1">
      <alignment horizontal="right" vertical="bottom"/>
    </xf>
    <xf borderId="0" fillId="0" fontId="1" numFmtId="49" xfId="0" applyFont="1" applyNumberFormat="1"/>
    <xf borderId="0" fillId="0" fontId="3" numFmtId="49" xfId="0" applyFont="1" applyNumberFormat="1"/>
    <xf borderId="0" fillId="0" fontId="1" numFmtId="11" xfId="0" applyFont="1" applyNumberFormat="1"/>
    <xf borderId="0" fillId="0" fontId="4" numFmtId="49" xfId="0" applyFont="1" applyNumberFormat="1"/>
    <xf borderId="0" fillId="0" fontId="1" numFmtId="165" xfId="0" applyAlignment="1" applyFont="1" applyNumberFormat="1">
      <alignment horizontal="right" vertical="bottom"/>
    </xf>
    <xf borderId="0" fillId="0" fontId="2" numFmtId="0" xfId="0" applyAlignment="1" applyFont="1">
      <alignment readingOrder="0" vertical="bottom"/>
    </xf>
    <xf borderId="0" fillId="0" fontId="2" numFmtId="166" xfId="0" applyAlignment="1" applyFont="1" applyNumberFormat="1">
      <alignment vertical="bottom"/>
    </xf>
    <xf borderId="0" fillId="0" fontId="1" numFmtId="166" xfId="0" applyAlignment="1" applyFont="1" applyNumberFormat="1">
      <alignment vertical="bottom"/>
    </xf>
    <xf borderId="0" fillId="0" fontId="5" numFmtId="0" xfId="0" applyFont="1"/>
    <xf borderId="0" fillId="0" fontId="2" numFmtId="165" xfId="0" applyAlignment="1" applyFont="1" applyNumberFormat="1">
      <alignment horizontal="right" vertical="bottom"/>
    </xf>
    <xf borderId="0" fillId="0" fontId="1" numFmtId="0" xfId="0" applyAlignment="1" applyFont="1">
      <alignment vertical="bottom"/>
    </xf>
    <xf borderId="0" fillId="0" fontId="1" numFmtId="166" xfId="0" applyAlignment="1" applyFont="1" applyNumberFormat="1">
      <alignment horizontal="right" vertical="bottom"/>
    </xf>
    <xf borderId="0" fillId="0" fontId="2" numFmtId="166" xfId="0" applyAlignment="1" applyFont="1" applyNumberFormat="1">
      <alignment horizontal="right" readingOrder="0" vertical="bottom"/>
    </xf>
    <xf borderId="0" fillId="0" fontId="1" numFmtId="0" xfId="0" applyAlignment="1" applyFont="1">
      <alignment readingOrder="0" vertical="bottom"/>
    </xf>
    <xf borderId="1" fillId="0" fontId="6" numFmtId="0" xfId="0" applyBorder="1" applyFont="1"/>
    <xf borderId="1" fillId="0" fontId="2" numFmtId="0" xfId="0" applyBorder="1" applyFont="1"/>
    <xf borderId="1" fillId="0" fontId="2" numFmtId="166" xfId="0" applyBorder="1" applyFont="1" applyNumberFormat="1"/>
    <xf borderId="1" fillId="0" fontId="2" numFmtId="0" xfId="0" applyAlignment="1" applyBorder="1" applyFont="1">
      <alignment readingOrder="0"/>
    </xf>
    <xf borderId="2" fillId="0" fontId="7" numFmtId="0" xfId="0" applyAlignment="1" applyBorder="1" applyFont="1">
      <alignment horizontal="center"/>
    </xf>
    <xf borderId="3" fillId="0" fontId="8" numFmtId="0" xfId="0" applyBorder="1" applyFont="1"/>
    <xf borderId="0" fillId="0" fontId="9" numFmtId="0" xfId="0" applyAlignment="1" applyFont="1">
      <alignment readingOrder="0" shrinkToFit="0" wrapText="1"/>
    </xf>
    <xf borderId="0" fillId="0" fontId="10" numFmtId="0" xfId="0" applyFont="1"/>
    <xf borderId="0" fillId="0" fontId="5" numFmtId="166" xfId="0" applyFont="1" applyNumberFormat="1"/>
    <xf borderId="0" fillId="0" fontId="5" numFmtId="10" xfId="0" applyFont="1" applyNumberFormat="1"/>
    <xf borderId="0" fillId="0" fontId="10" numFmtId="0" xfId="0" applyFont="1"/>
    <xf borderId="0" fillId="0" fontId="11" numFmtId="0" xfId="0" applyAlignment="1" applyFont="1">
      <alignment readingOrder="0"/>
    </xf>
    <xf borderId="0" fillId="0" fontId="4" numFmtId="0" xfId="0" applyAlignment="1" applyFont="1">
      <alignment readingOrder="0" shrinkToFit="0" wrapText="1"/>
    </xf>
    <xf borderId="0" fillId="0" fontId="5" numFmtId="167" xfId="0" applyFont="1" applyNumberForma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Ventas Totales por Mercado (Ciudad)</a:t>
            </a:r>
          </a:p>
        </c:rich>
      </c:tx>
      <c:overlay val="0"/>
    </c:title>
    <c:plotArea>
      <c:layout/>
      <c:barChart>
        <c:barDir val="col"/>
        <c:ser>
          <c:idx val="0"/>
          <c:order val="0"/>
          <c:tx>
            <c:strRef>
              <c:f>TD_Ventas_por_Ciudad!$B$1</c:f>
            </c:strRef>
          </c:tx>
          <c:spPr>
            <a:solidFill>
              <a:schemeClr val="accent1"/>
            </a:solidFill>
            <a:ln cmpd="sng">
              <a:solidFill>
                <a:srgbClr val="000000"/>
              </a:solidFill>
            </a:ln>
          </c:spPr>
          <c:dPt>
            <c:idx val="0"/>
            <c:spPr>
              <a:solidFill>
                <a:srgbClr val="3C78D8"/>
              </a:solidFill>
              <a:ln cmpd="sng">
                <a:solidFill>
                  <a:srgbClr val="000000"/>
                </a:solidFill>
              </a:ln>
            </c:spPr>
          </c:dPt>
          <c:cat>
            <c:strRef>
              <c:f>TD_Ventas_por_Ciudad!$A$2:$A$8</c:f>
            </c:strRef>
          </c:cat>
          <c:val>
            <c:numRef>
              <c:f>TD_Ventas_por_Ciudad!$B$2:$B$8</c:f>
              <c:numCache/>
            </c:numRef>
          </c:val>
        </c:ser>
        <c:axId val="1813086061"/>
        <c:axId val="1221465506"/>
      </c:barChart>
      <c:catAx>
        <c:axId val="18130860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Ciudad</a:t>
                </a:r>
              </a:p>
            </c:rich>
          </c:tx>
          <c:overlay val="0"/>
        </c:title>
        <c:numFmt formatCode="General" sourceLinked="1"/>
        <c:majorTickMark val="none"/>
        <c:minorTickMark val="none"/>
        <c:spPr/>
        <c:txPr>
          <a:bodyPr/>
          <a:lstStyle/>
          <a:p>
            <a:pPr lvl="0">
              <a:defRPr b="0">
                <a:solidFill>
                  <a:srgbClr val="000000"/>
                </a:solidFill>
                <a:latin typeface="+mn-lt"/>
              </a:defRPr>
            </a:pPr>
          </a:p>
        </c:txPr>
        <c:crossAx val="1221465506"/>
      </c:catAx>
      <c:valAx>
        <c:axId val="12214655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Venta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308606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Tendencia de Ventas Trimestral</a:t>
            </a:r>
          </a:p>
        </c:rich>
      </c:tx>
      <c:overlay val="0"/>
    </c:title>
    <c:plotArea>
      <c:layout/>
      <c:lineChart>
        <c:varyColors val="0"/>
        <c:ser>
          <c:idx val="0"/>
          <c:order val="0"/>
          <c:tx>
            <c:strRef>
              <c:f>TD_Ventas_Mensuales!$B$1</c:f>
            </c:strRef>
          </c:tx>
          <c:spPr>
            <a:ln cmpd="sng">
              <a:solidFill>
                <a:srgbClr val="156082"/>
              </a:solidFill>
            </a:ln>
          </c:spPr>
          <c:marker>
            <c:symbol val="circle"/>
            <c:size val="7"/>
            <c:spPr>
              <a:solidFill>
                <a:srgbClr val="156082"/>
              </a:solidFill>
              <a:ln cmpd="sng">
                <a:solidFill>
                  <a:srgbClr val="156082"/>
                </a:solidFill>
              </a:ln>
            </c:spPr>
          </c:marker>
          <c:dLbls>
            <c:numFmt formatCode="General" sourceLinked="1"/>
            <c:txPr>
              <a:bodyPr/>
              <a:lstStyle/>
              <a:p>
                <a:pPr lvl="0">
                  <a:defRPr/>
                </a:pPr>
              </a:p>
            </c:txPr>
            <c:showLegendKey val="0"/>
            <c:showVal val="1"/>
            <c:showCatName val="0"/>
            <c:showSerName val="0"/>
            <c:showPercent val="0"/>
            <c:showBubbleSize val="0"/>
          </c:dLbls>
          <c:cat>
            <c:strRef>
              <c:f>TD_Ventas_Mensuales!$A$2:$A$4</c:f>
            </c:strRef>
          </c:cat>
          <c:val>
            <c:numRef>
              <c:f>TD_Ventas_Mensuales!$B$2:$B$4</c:f>
              <c:numCache/>
            </c:numRef>
          </c:val>
          <c:smooth val="0"/>
        </c:ser>
        <c:axId val="1535554684"/>
        <c:axId val="401830565"/>
      </c:lineChart>
      <c:catAx>
        <c:axId val="15355546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Periodo Mensual</a:t>
                </a:r>
              </a:p>
            </c:rich>
          </c:tx>
          <c:overlay val="0"/>
        </c:title>
        <c:numFmt formatCode="General" sourceLinked="1"/>
        <c:majorTickMark val="none"/>
        <c:minorTickMark val="none"/>
        <c:spPr/>
        <c:txPr>
          <a:bodyPr/>
          <a:lstStyle/>
          <a:p>
            <a:pPr lvl="0">
              <a:defRPr b="0">
                <a:solidFill>
                  <a:srgbClr val="000000"/>
                </a:solidFill>
                <a:latin typeface="+mn-lt"/>
              </a:defRPr>
            </a:pPr>
          </a:p>
        </c:txPr>
        <c:crossAx val="401830565"/>
      </c:catAx>
      <c:valAx>
        <c:axId val="4018305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Ventas Totales (USD)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555468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Ventas Totales por Mercado (Ciudad)</a:t>
            </a:r>
          </a:p>
        </c:rich>
      </c:tx>
      <c:overlay val="0"/>
    </c:title>
    <c:plotArea>
      <c:layout/>
      <c:barChart>
        <c:barDir val="col"/>
        <c:ser>
          <c:idx val="0"/>
          <c:order val="0"/>
          <c:tx>
            <c:strRef>
              <c:f>TD_Ventas_por_Ciudad!$B$1</c:f>
            </c:strRef>
          </c:tx>
          <c:spPr>
            <a:solidFill>
              <a:schemeClr val="accent1"/>
            </a:solidFill>
            <a:ln cmpd="sng">
              <a:solidFill>
                <a:srgbClr val="000000"/>
              </a:solidFill>
            </a:ln>
          </c:spPr>
          <c:cat>
            <c:strRef>
              <c:f>TD_Ventas_por_Ciudad!$A$2:$A$8</c:f>
            </c:strRef>
          </c:cat>
          <c:val>
            <c:numRef>
              <c:f>TD_Ventas_por_Ciudad!$B$2:$B$8</c:f>
              <c:numCache/>
            </c:numRef>
          </c:val>
        </c:ser>
        <c:axId val="1666937497"/>
        <c:axId val="742408358"/>
      </c:barChart>
      <c:catAx>
        <c:axId val="16669374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Ciudad</a:t>
                </a:r>
              </a:p>
            </c:rich>
          </c:tx>
          <c:overlay val="0"/>
        </c:title>
        <c:numFmt formatCode="General" sourceLinked="1"/>
        <c:majorTickMark val="none"/>
        <c:minorTickMark val="none"/>
        <c:spPr/>
        <c:txPr>
          <a:bodyPr/>
          <a:lstStyle/>
          <a:p>
            <a:pPr lvl="0">
              <a:defRPr b="0">
                <a:solidFill>
                  <a:srgbClr val="000000"/>
                </a:solidFill>
                <a:latin typeface="+mn-lt"/>
              </a:defRPr>
            </a:pPr>
          </a:p>
        </c:txPr>
        <c:crossAx val="742408358"/>
      </c:catAx>
      <c:valAx>
        <c:axId val="7424083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Venta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6937497"/>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171450</xdr:colOff>
      <xdr:row>1</xdr:row>
      <xdr:rowOff>47625</xdr:rowOff>
    </xdr:from>
    <xdr:ext cx="5715000" cy="3533775"/>
    <xdr:graphicFrame>
      <xdr:nvGraphicFramePr>
        <xdr:cNvPr id="52822222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323850</xdr:colOff>
      <xdr:row>21</xdr:row>
      <xdr:rowOff>200025</xdr:rowOff>
    </xdr:from>
    <xdr:ext cx="5715000" cy="3533775"/>
    <xdr:graphicFrame>
      <xdr:nvGraphicFramePr>
        <xdr:cNvPr id="60754299"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1</xdr:row>
      <xdr:rowOff>9525</xdr:rowOff>
    </xdr:from>
    <xdr:ext cx="5715000" cy="3533775"/>
    <xdr:graphicFrame>
      <xdr:nvGraphicFramePr>
        <xdr:cNvPr id="1238343644"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754" sheet="Datos_Limpios"/>
  </cacheSource>
  <cacheFields>
    <cacheField name="Fecha de venta" numFmtId="165">
      <sharedItems containsSemiMixedTypes="0" containsDate="1" containsString="0">
        <d v="2024-10-01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d v="2024-12-31T00:00:00Z"/>
      </sharedItems>
    </cacheField>
    <cacheField name="Ciudad" numFmtId="0">
      <sharedItems>
        <s v="monterrey"/>
        <s v="bogotá"/>
        <s v="Ciudad de Mexico"/>
        <s v="Medellín"/>
        <s v="Guadalajara"/>
        <s v="CALI"/>
        <s v="TULUM"/>
        <s v="  Guadalajara"/>
      </sharedItems>
    </cacheField>
    <cacheField name="Ciudad corregida" numFmtId="0">
      <sharedItems>
        <s v="Monterrey"/>
        <s v="Bogotá"/>
        <s v="Ciudad De Mexico"/>
        <s v="Medellín"/>
        <s v="Guadalajara"/>
        <s v="Cali"/>
        <s v="Tulum"/>
      </sharedItems>
    </cacheField>
    <cacheField name="Categoría" numFmtId="0">
      <sharedItems>
        <s v="Tablet"/>
        <s v="Auriculares"/>
        <s v="Teléfono"/>
        <s v="Laptop"/>
      </sharedItems>
    </cacheField>
    <cacheField name="Tipo" numFmtId="0">
      <sharedItems>
        <s v="Estándar"/>
        <s v="Con cable"/>
        <s v="Gama alta"/>
        <s v="Pro"/>
        <s v="Oficina"/>
        <s v="Bluetooth"/>
        <s v="Ultraliviana"/>
        <s v="Mini"/>
        <s v="Gama media"/>
        <s v="Gaming"/>
        <s v="Gama baja"/>
        <s v="Cancelaci√≥n de ruido"/>
        <s v="Cancelación de ruido"/>
      </sharedItems>
    </cacheField>
    <cacheField name="Especificaciones" numFmtId="0">
      <sharedItems>
        <s v="8GB"/>
        <s v="32GB"/>
        <s v="16GB"/>
        <s v="4GB"/>
      </sharedItems>
    </cacheField>
    <cacheField name="Precio unitario" numFmtId="166">
      <sharedItems containsSemiMixedTypes="0" containsString="0" containsNumber="1">
        <n v="1339.17"/>
        <n v="716.29"/>
        <n v="439.01"/>
        <n v="741.79"/>
        <n v="984.34"/>
        <n v="2419.81"/>
        <n v="145.9"/>
        <n v="1086.48"/>
        <n v="1898.32"/>
        <n v="1280.61"/>
        <n v="1753.0"/>
        <n v="370.25"/>
        <n v="62.73"/>
        <n v="2314.37"/>
        <n v="2168.25"/>
        <n v="120.46"/>
        <n v="525.13"/>
        <n v="278.37"/>
        <n v="157.57"/>
        <n v="981.62"/>
        <n v="646.22"/>
        <n v="1848.98"/>
        <n v="1420.28"/>
        <n v="2208.12"/>
        <n v="591.94"/>
        <n v="1429.89"/>
        <n v="2085.29"/>
        <n v="724.28"/>
        <n v="1859.58"/>
        <n v="218.17"/>
        <n v="1375.85"/>
        <n v="421.59"/>
        <n v="2288.18"/>
        <n v="1699.32"/>
        <n v="1578.34"/>
        <n v="1445.1"/>
        <n v="1065.52"/>
        <n v="2095.66"/>
        <n v="2215.63"/>
        <n v="2395.85"/>
        <n v="883.61"/>
        <n v="1277.75"/>
        <n v="2182.77"/>
        <n v="1163.04"/>
        <n v="1664.18"/>
        <n v="992.68"/>
        <n v="284.79"/>
        <n v="362.17"/>
        <n v="1274.8"/>
        <n v="233.85"/>
        <n v="142.14"/>
        <n v="226.52"/>
        <n v="1922.79"/>
        <n v="2214.98"/>
        <n v="120.94"/>
        <n v="1950.45"/>
        <n v="2092.55"/>
        <n v="214.72"/>
        <n v="1291.39"/>
        <n v="970.38"/>
        <n v="2101.48"/>
        <n v="302.84"/>
        <n v="1421.57"/>
        <n v="1037.64"/>
        <n v="579.54"/>
        <n v="796.49"/>
        <n v="1838.04"/>
        <n v="1090.69"/>
        <n v="882.55"/>
        <n v="1909.2"/>
        <n v="2381.87"/>
        <n v="68.0"/>
        <n v="571.73"/>
        <n v="2009.75"/>
        <n v="2289.42"/>
        <n v="1414.97"/>
        <n v="2332.8"/>
        <n v="379.5"/>
        <n v="2020.01"/>
        <n v="428.56"/>
        <n v="1966.38"/>
        <n v="2242.47"/>
        <n v="1896.1"/>
        <n v="829.53"/>
        <n v="2377.34"/>
        <n v="1614.05"/>
        <n v="1805.81"/>
        <n v="1112.48"/>
        <n v="2264.15"/>
        <n v="833.39"/>
        <n v="2341.77"/>
        <n v="397.5"/>
        <n v="100.75"/>
        <n v="1268.91"/>
        <n v="903.41"/>
        <n v="259.75"/>
        <n v="798.65"/>
        <n v="1937.4"/>
        <n v="1866.74"/>
        <n v="1093.69"/>
        <n v="2063.13"/>
        <n v="1091.59"/>
        <n v="271.81"/>
        <n v="2392.27"/>
        <n v="2411.28"/>
        <n v="303.84"/>
        <n v="228.78"/>
        <n v="721.04"/>
        <n v="594.52"/>
        <n v="1612.96"/>
        <n v="169.21"/>
        <n v="709.65"/>
        <n v="1750.63"/>
        <n v="1564.96"/>
        <n v="1972.43"/>
        <n v="2431.8"/>
        <n v="904.01"/>
        <n v="700.55"/>
        <n v="1034.4"/>
        <n v="902.5"/>
        <n v="713.75"/>
        <n v="2484.74"/>
        <n v="2182.83"/>
        <n v="2329.03"/>
        <n v="130.05"/>
        <n v="1564.37"/>
        <n v="2317.94"/>
        <n v="722.95"/>
        <n v="242.27"/>
        <n v="1279.5"/>
        <n v="2299.22"/>
        <n v="1077.13"/>
        <n v="1956.0"/>
        <n v="2224.57"/>
        <n v="1840.11"/>
        <n v="2081.9"/>
        <n v="320.64"/>
        <n v="318.76"/>
        <n v="474.59"/>
        <n v="2430.43"/>
        <n v="270.83"/>
        <n v="121.68"/>
        <n v="392.86"/>
        <n v="1807.14"/>
        <n v="1604.02"/>
        <n v="72.75"/>
        <n v="1524.07"/>
        <n v="2392.65"/>
        <n v="1988.0"/>
        <n v="1703.47"/>
        <n v="205.25"/>
        <n v="1882.22"/>
        <n v="419.18"/>
        <n v="1511.08"/>
        <n v="1736.9"/>
        <n v="2240.54"/>
        <n v="1242.34"/>
        <n v="1657.62"/>
        <n v="499.22"/>
        <n v="348.21"/>
        <n v="324.46"/>
        <n v="796.3"/>
        <n v="1327.27"/>
        <n v="2384.86"/>
        <n v="379.64"/>
        <n v="1582.73"/>
        <n v="1362.97"/>
        <n v="1817.8"/>
        <n v="1962.79"/>
        <n v="785.65"/>
        <n v="747.11"/>
        <n v="1030.99"/>
        <n v="486.27"/>
        <n v="1518.43"/>
        <n v="2100.84"/>
        <n v="1261.22"/>
        <n v="2418.11"/>
        <n v="2499.77"/>
        <n v="1228.74"/>
        <n v="1901.74"/>
        <n v="743.39"/>
        <n v="2095.64"/>
        <n v="1062.11"/>
        <n v="1363.09"/>
        <n v="1468.39"/>
        <n v="1823.15"/>
        <n v="2242.64"/>
        <n v="1260.9"/>
        <n v="2382.64"/>
        <n v="919.0"/>
        <n v="1631.22"/>
        <n v="2101.18"/>
        <n v="1868.91"/>
        <n v="1898.24"/>
        <n v="611.99"/>
        <n v="403.48"/>
        <n v="174.28"/>
        <n v="273.42"/>
        <n v="1437.75"/>
        <n v="1092.45"/>
        <n v="832.37"/>
        <n v="755.38"/>
        <n v="1237.66"/>
        <n v="986.08"/>
        <n v="1984.42"/>
        <n v="1537.12"/>
        <n v="1832.39"/>
        <n v="1834.12"/>
        <n v="1779.34"/>
        <n v="2484.65"/>
        <n v="371.09"/>
        <n v="2493.45"/>
        <n v="1010.17"/>
        <n v="2472.61"/>
        <n v="1741.09"/>
        <n v="1290.52"/>
        <n v="1598.45"/>
        <n v="1156.44"/>
        <n v="288.29"/>
        <n v="1164.32"/>
        <n v="429.21"/>
        <n v="847.32"/>
        <n v="509.58"/>
        <n v="2248.35"/>
        <n v="2388.79"/>
        <n v="2343.81"/>
        <n v="140.58"/>
        <n v="1292.41"/>
        <n v="1099.54"/>
        <n v="2317.48"/>
        <n v="797.71"/>
        <n v="1861.0"/>
        <n v="201.31"/>
        <n v="1889.28"/>
        <n v="1451.3"/>
        <n v="2266.71"/>
        <n v="287.48"/>
        <n v="1758.16"/>
        <n v="273.01"/>
        <n v="434.9"/>
        <n v="719.59"/>
        <n v="1912.53"/>
        <n v="2196.83"/>
        <n v="1992.15"/>
        <n v="1291.38"/>
        <n v="1522.98"/>
        <n v="1688.92"/>
        <n v="2157.37"/>
        <n v="642.49"/>
        <n v="2114.2"/>
        <n v="1491.19"/>
        <n v="1849.07"/>
        <n v="1612.87"/>
        <n v="670.67"/>
        <n v="1040.78"/>
        <n v="1050.44"/>
        <n v="808.32"/>
        <n v="2092.87"/>
        <n v="1826.03"/>
        <n v="1945.67"/>
        <n v="949.27"/>
        <n v="127.95"/>
        <n v="371.34"/>
        <n v="700.01"/>
        <n v="2242.24"/>
        <n v="1912.83"/>
        <n v="634.44"/>
        <n v="1270.75"/>
        <n v="841.48"/>
        <n v="1656.59"/>
        <n v="762.46"/>
        <n v="1662.81"/>
        <n v="427.92"/>
        <n v="271.11"/>
        <n v="1112.81"/>
        <n v="720.63"/>
        <n v="1111.98"/>
        <n v="763.62"/>
        <n v="489.42"/>
        <n v="2356.5"/>
        <n v="56.71"/>
        <n v="853.52"/>
        <n v="1668.3"/>
        <n v="1585.75"/>
        <n v="229.33"/>
        <n v="596.93"/>
        <n v="1650.53"/>
        <n v="2114.99"/>
        <n v="169.2"/>
        <n v="1614.84"/>
        <n v="360.98"/>
        <n v="1447.41"/>
        <n v="1746.28"/>
        <n v="2390.84"/>
        <n v="1415.48"/>
        <n v="1384.09"/>
        <n v="1933.07"/>
        <n v="1492.73"/>
        <n v="1170.2"/>
        <n v="569.35"/>
        <n v="664.19"/>
        <n v="214.86"/>
        <n v="499.69"/>
        <n v="2442.23"/>
        <n v="2498.64"/>
        <n v="2333.72"/>
        <n v="100.98"/>
        <n v="2437.77"/>
        <n v="1281.78"/>
        <n v="2012.81"/>
        <n v="1673.73"/>
        <n v="1151.85"/>
        <n v="1032.0"/>
        <n v="1856.6"/>
        <n v="1383.94"/>
        <n v="812.41"/>
        <n v="424.12"/>
        <n v="1787.41"/>
        <n v="625.41"/>
        <n v="2393.92"/>
        <n v="724.54"/>
        <n v="1665.73"/>
        <n v="1373.32"/>
        <n v="1899.66"/>
        <n v="1873.69"/>
        <n v="181.51"/>
        <n v="1029.22"/>
        <n v="1177.91"/>
        <n v="1618.43"/>
        <n v="2064.2"/>
        <n v="1152.44"/>
        <n v="1051.49"/>
        <n v="446.49"/>
        <n v="879.78"/>
        <n v="1001.15"/>
        <n v="2224.61"/>
        <n v="563.11"/>
        <n v="1165.81"/>
        <n v="718.69"/>
        <n v="2474.36"/>
        <n v="1876.88"/>
        <n v="450.01"/>
        <n v="1808.18"/>
        <n v="914.84"/>
        <n v="210.37"/>
        <n v="1767.16"/>
        <n v="1832.97"/>
        <n v="1159.32"/>
        <n v="120.49"/>
        <n v="84.76"/>
        <n v="969.37"/>
        <n v="1318.47"/>
        <n v="1943.33"/>
        <n v="2040.92"/>
        <n v="1626.83"/>
        <n v="1137.01"/>
        <n v="1216.59"/>
        <n v="1141.88"/>
        <n v="416.81"/>
        <n v="347.49"/>
        <n v="1346.1"/>
        <n v="1101.82"/>
        <n v="1843.37"/>
        <n v="627.26"/>
        <n v="1375.44"/>
        <n v="1397.49"/>
        <n v="1203.93"/>
        <n v="1441.97"/>
        <n v="992.95"/>
        <n v="456.65"/>
        <n v="2405.31"/>
        <n v="793.37"/>
        <n v="2030.7"/>
        <n v="2127.13"/>
        <n v="2255.29"/>
        <n v="808.48"/>
        <n v="2142.82"/>
        <n v="219.68"/>
        <n v="2269.51"/>
        <n v="2002.21"/>
        <n v="877.11"/>
        <n v="304.68"/>
        <n v="1533.19"/>
        <n v="1141.13"/>
        <n v="890.76"/>
        <n v="1307.54"/>
        <n v="1178.53"/>
        <n v="1217.56"/>
        <n v="2191.24"/>
        <n v="276.58"/>
        <n v="2426.87"/>
        <n v="1077.1"/>
        <n v="920.68"/>
        <n v="1620.89"/>
        <n v="653.09"/>
        <n v="1057.56"/>
        <n v="1292.9"/>
        <n v="173.04"/>
        <n v="221.44"/>
        <n v="2185.04"/>
        <n v="2214.19"/>
        <n v="215.41"/>
        <n v="1097.51"/>
        <n v="1868.8"/>
        <n v="2371.6"/>
        <n v="1752.92"/>
        <n v="210.76"/>
        <n v="1145.32"/>
        <n v="1017.27"/>
        <n v="2246.65"/>
        <n v="269.57"/>
        <n v="2189.91"/>
        <n v="1130.03"/>
        <n v="1485.74"/>
        <n v="1570.12"/>
        <n v="2469.75"/>
        <n v="1738.96"/>
        <n v="1987.27"/>
        <n v="1640.14"/>
        <n v="2420.41"/>
        <n v="495.51"/>
        <n v="299.66"/>
        <n v="510.78"/>
        <n v="2399.53"/>
        <n v="2408.85"/>
        <n v="1944.02"/>
        <n v="1160.21"/>
        <n v="536.87"/>
        <n v="416.62"/>
        <n v="1175.45"/>
        <n v="1273.61"/>
        <n v="1402.66"/>
        <n v="197.09"/>
        <n v="2135.79"/>
        <n v="752.56"/>
        <n v="2198.02"/>
        <n v="342.64"/>
        <n v="1249.46"/>
        <n v="463.17"/>
        <n v="776.93"/>
        <n v="405.62"/>
        <n v="1659.54"/>
        <n v="1848.95"/>
        <n v="793.75"/>
        <n v="919.27"/>
        <n v="807.71"/>
        <n v="1768.49"/>
        <n v="2009.76"/>
        <n v="72.37"/>
        <n v="443.81"/>
        <n v="1628.77"/>
        <n v="1752.21"/>
        <n v="649.99"/>
        <n v="1768.85"/>
        <n v="103.69"/>
        <n v="2028.12"/>
        <n v="428.02"/>
        <n v="1880.14"/>
        <n v="1061.61"/>
        <n v="564.69"/>
        <n v="1847.8"/>
        <n v="2476.21"/>
        <n v="1155.26"/>
        <n v="1022.39"/>
        <n v="110.53"/>
        <n v="1453.6"/>
        <n v="2062.25"/>
        <n v="1083.45"/>
        <n v="2488.53"/>
        <n v="2068.34"/>
        <n v="1390.26"/>
        <n v="1438.41"/>
        <n v="2229.46"/>
        <n v="324.09"/>
        <n v="664.21"/>
        <n v="412.36"/>
        <n v="1247.08"/>
        <n v="252.24"/>
        <n v="1519.67"/>
        <n v="488.25"/>
        <n v="2210.34"/>
        <n v="1892.73"/>
        <n v="788.6"/>
        <n v="1219.75"/>
        <n v="2014.33"/>
        <n v="1804.11"/>
        <n v="764.41"/>
        <n v="1713.18"/>
        <n v="1160.86"/>
        <n v="2160.65"/>
        <n v="2297.62"/>
        <n v="1795.59"/>
        <n v="2087.73"/>
        <n v="1168.3"/>
        <n v="1654.16"/>
        <n v="563.92"/>
        <n v="684.7"/>
        <n v="1496.64"/>
        <n v="337.5"/>
        <n v="251.95"/>
        <n v="568.57"/>
        <n v="1491.36"/>
        <n v="1083.91"/>
        <n v="2254.91"/>
        <n v="1615.43"/>
        <n v="411.02"/>
        <n v="1109.64"/>
        <n v="2256.04"/>
        <n v="616.36"/>
        <n v="206.29"/>
        <n v="890.66"/>
        <n v="1208.42"/>
        <n v="2148.99"/>
        <n v="1560.05"/>
        <n v="1114.1"/>
        <n v="2261.15"/>
        <n v="157.89"/>
        <n v="2060.35"/>
        <n v="218.94"/>
        <n v="78.53"/>
        <n v="2294.28"/>
        <n v="90.89"/>
        <n v="1464.04"/>
        <n v="690.26"/>
        <n v="1902.94"/>
        <n v="2281.58"/>
        <n v="1019.3"/>
        <n v="1113.91"/>
        <n v="2246.48"/>
        <n v="496.1"/>
        <n v="1005.46"/>
        <n v="379.11"/>
        <n v="1742.12"/>
        <n v="1143.24"/>
        <n v="1955.27"/>
        <n v="1440.56"/>
        <n v="1636.89"/>
        <n v="979.2"/>
        <n v="1566.88"/>
        <n v="1397.7"/>
        <n v="155.7"/>
        <n v="166.45"/>
        <n v="1744.95"/>
        <n v="1865.55"/>
        <n v="787.78"/>
        <n v="1001.63"/>
        <n v="1708.81"/>
        <n v="1402.2"/>
        <n v="85.19"/>
        <n v="240.45"/>
        <n v="1284.54"/>
        <n v="974.06"/>
        <n v="1808.15"/>
        <n v="1969.69"/>
        <n v="2351.13"/>
        <n v="173.92"/>
        <n v="817.03"/>
        <n v="1332.48"/>
        <n v="273.29"/>
        <n v="782.8"/>
        <n v="1198.31"/>
        <n v="569.56"/>
        <n v="1672.13"/>
        <n v="1603.02"/>
        <n v="1076.71"/>
        <n v="1203.25"/>
        <n v="1247.13"/>
        <n v="153.47"/>
        <n v="834.63"/>
        <n v="1268.59"/>
        <n v="181.16"/>
        <n v="934.1"/>
        <n v="1566.36"/>
        <n v="288.64"/>
        <n v="1164.16"/>
        <n v="494.57"/>
        <n v="2145.76"/>
        <n v="2116.69"/>
        <n v="2312.52"/>
        <n v="516.02"/>
        <n v="177.74"/>
        <n v="2083.24"/>
        <n v="818.61"/>
        <n v="2389.97"/>
        <n v="997.09"/>
        <n v="1939.56"/>
        <n v="787.6"/>
        <n v="1710.52"/>
        <n v="817.31"/>
        <n v="101.1"/>
        <n v="303.05"/>
        <n v="806.78"/>
        <n v="741.53"/>
        <n v="1423.68"/>
        <n v="658.01"/>
        <n v="421.27"/>
        <n v="814.63"/>
        <n v="205.57"/>
        <n v="785.82"/>
        <n v="1220.85"/>
        <n v="2281.01"/>
        <n v="763.21"/>
        <n v="1711.88"/>
        <n v="1252.47"/>
        <n v="1119.17"/>
        <n v="842.36"/>
        <n v="1771.25"/>
        <n v="1865.58"/>
        <n v="1615.07"/>
        <n v="1627.59"/>
        <n v="1700.41"/>
        <n v="1035.07"/>
        <n v="771.57"/>
        <n v="1698.28"/>
        <n v="602.68"/>
        <n v="1096.28"/>
        <n v="2030.62"/>
        <n v="1405.61"/>
        <n v="564.58"/>
        <n v="2310.61"/>
        <n v="2425.55"/>
        <n v="944.98"/>
        <n v="1876.74"/>
        <n v="2031.79"/>
        <n v="1031.51"/>
        <n v="879.04"/>
        <n v="292.99"/>
        <n v="1575.85"/>
        <n v="720.31"/>
        <n v="2309.76"/>
        <n v="633.29"/>
        <n v="530.94"/>
        <n v="127.35"/>
        <n v="1008.28"/>
        <n v="1900.01"/>
        <n v="1254.96"/>
        <n v="432.18"/>
        <n v="2373.12"/>
        <n v="290.07"/>
        <n v="841.77"/>
        <n v="1501.95"/>
        <n v="769.01"/>
        <n v="1507.69"/>
        <n v="2086.91"/>
        <n v="1092.96"/>
        <n v="2114.97"/>
        <n v="2077.18"/>
        <n v="1547.71"/>
        <n v="1944.73"/>
        <n v="1459.53"/>
        <n v="1019.73"/>
        <n v="1670.11"/>
        <n v="2008.78"/>
        <n v="2461.26"/>
        <n v="2224.42"/>
        <n v="1979.07"/>
        <n v="1397.8"/>
        <n v="1636.65"/>
        <n v="2186.25"/>
        <n v="1567.55"/>
        <n v="1717.67"/>
        <n v="778.63"/>
        <n v="2251.92"/>
        <n v="1770.14"/>
        <n v="489.63"/>
        <n v="625.26"/>
        <n v="784.39"/>
        <n v="1719.53"/>
        <n v="861.73"/>
        <n v="988.8"/>
        <n v="1696.63"/>
        <n v="1663.22"/>
        <n v="1991.97"/>
        <n v="1918.04"/>
        <n v="2115.54"/>
        <n v="2174.89"/>
        <n v="1148.92"/>
        <n v="1247.53"/>
        <n v="758.87"/>
        <n v="2441.7"/>
        <n v="366.39"/>
        <n v="306.11"/>
        <n v="988.44"/>
        <n v="2003.92"/>
        <n v="519.68"/>
        <n v="920.71"/>
        <n v="1089.03"/>
        <n v="500.74"/>
        <n v="1047.88"/>
        <n v="228.56"/>
        <n v="1068.29"/>
        <n v="173.94"/>
        <n v="2271.98"/>
        <n v="2461.45"/>
        <n v="848.42"/>
        <n v="2334.37"/>
        <n v="648.35"/>
        <n v="1794.09"/>
        <n v="658.24"/>
        <n v="824.79"/>
        <n v="1056.48"/>
        <n v="932.02"/>
        <n v="2140.33"/>
        <n v="554.25"/>
        <n v="173.36"/>
        <n v="1935.15"/>
        <n v="1923.56"/>
        <n v="2263.78"/>
        <n v="1831.56"/>
        <n v="1191.71"/>
        <n v="314.84"/>
        <n v="1724.31"/>
        <n v="372.92"/>
        <n v="589.92"/>
        <n v="702.77"/>
        <n v="2261.12"/>
        <n v="1577.5"/>
        <n v="211.08"/>
        <n v="1061.9"/>
        <n v="1152.78"/>
        <n v="1793.94"/>
        <n v="2144.75"/>
        <n v="1642.37"/>
        <n v="158.82"/>
        <n v="1088.66"/>
        <n v="1456.46"/>
        <n v="2209.08"/>
        <n v="401.92"/>
        <n v="989.79"/>
        <n v="173.98"/>
        <n v="1006.61"/>
        <n v="2068.09"/>
        <n v="732.27"/>
        <n v="620.05"/>
        <n v="1331.81"/>
        <n v="714.18"/>
        <n v="792.6"/>
        <n v="1811.9"/>
        <n v="895.6"/>
        <n v="2064.92"/>
        <n v="2149.59"/>
        <n v="619.4"/>
        <n v="2086.06"/>
        <n v="2019.54"/>
        <n v="823.08"/>
        <n v="1721.22"/>
        <n v="134.89"/>
        <n v="1545.28"/>
        <n v="807.96"/>
      </sharedItems>
    </cacheField>
    <cacheField name="Cantidad" numFmtId="0">
      <sharedItems containsSemiMixedTypes="0" containsString="0" containsNumber="1" containsInteger="1">
        <n v="2.0"/>
        <n v="1.0"/>
        <n v="5.0"/>
        <n v="3.0"/>
        <n v="4.0"/>
      </sharedItems>
    </cacheField>
    <cacheField name="Monto total" numFmtId="166">
      <sharedItems containsSemiMixedTypes="0" containsString="0" containsNumber="1">
        <n v="2678.34"/>
        <n v="716.29"/>
        <n v="2195.05"/>
        <n v="1483.58"/>
        <n v="2953.02"/>
        <n v="12099.05"/>
        <n v="729.5"/>
        <n v="1086.48"/>
        <n v="7593.28"/>
        <n v="6403.05"/>
        <n v="8765.0"/>
        <n v="1481.0"/>
        <n v="188.19"/>
        <n v="11571.85"/>
        <n v="6504.75"/>
        <n v="120.46"/>
        <n v="1050.26"/>
        <n v="835.11"/>
        <n v="315.14"/>
        <n v="4908.1"/>
        <n v="1292.44"/>
        <n v="5546.94"/>
        <n v="5681.12"/>
        <n v="4416.24"/>
        <n v="1183.88"/>
        <n v="5719.56"/>
        <n v="2085.29"/>
        <n v="2172.84"/>
        <n v="5578.74"/>
        <n v="872.68"/>
        <n v="1375.85"/>
        <n v="843.18"/>
        <n v="2288.18"/>
        <n v="6797.28"/>
        <n v="4735.02"/>
        <n v="5780.4"/>
        <n v="2131.04"/>
        <n v="10478.3"/>
        <n v="6646.89"/>
        <n v="9583.4"/>
        <n v="1767.22"/>
        <n v="1277.75"/>
        <n v="6548.31"/>
        <n v="1163.04"/>
        <n v="4992.54"/>
        <n v="4963.4"/>
        <n v="1423.95"/>
        <n v="1086.51"/>
        <n v="6374.0"/>
        <n v="935.4"/>
        <n v="426.42"/>
        <n v="453.04"/>
        <n v="5768.37"/>
        <n v="4429.96"/>
        <n v="362.82"/>
        <n v="7801.8"/>
        <n v="10462.75"/>
        <n v="644.16"/>
        <n v="3874.17"/>
        <n v="4851.9"/>
        <n v="4202.96"/>
        <n v="908.52"/>
        <n v="5686.28"/>
        <n v="3112.92"/>
        <n v="1738.62"/>
        <n v="2389.47"/>
        <n v="7352.16"/>
        <n v="1090.69"/>
        <n v="4412.75"/>
        <n v="5727.6"/>
        <n v="2381.87"/>
        <n v="204.0"/>
        <n v="2286.92"/>
        <n v="4019.5"/>
        <n v="9157.68"/>
        <n v="1414.97"/>
        <n v="2332.8"/>
        <n v="1518.0"/>
        <n v="10100.05"/>
        <n v="428.56"/>
        <n v="9831.9"/>
        <n v="8969.88"/>
        <n v="3792.2"/>
        <n v="3318.12"/>
        <n v="4754.68"/>
        <n v="1614.05"/>
        <n v="5417.43"/>
        <n v="2224.96"/>
        <n v="11320.75"/>
        <n v="833.39"/>
        <n v="11708.85"/>
        <n v="795.0"/>
        <n v="100.75"/>
        <n v="2537.82"/>
        <n v="2710.23"/>
        <n v="1039.0"/>
        <n v="798.65"/>
        <n v="3874.8"/>
        <n v="7466.96"/>
        <n v="1093.69"/>
        <n v="8252.52"/>
        <n v="5457.95"/>
        <n v="543.62"/>
        <n v="9569.08"/>
        <n v="9645.12"/>
        <n v="303.84"/>
        <n v="228.78"/>
        <n v="2884.16"/>
        <n v="1189.04"/>
        <n v="1612.96"/>
        <n v="507.63"/>
        <n v="2128.95"/>
        <n v="8753.15"/>
        <n v="6259.84"/>
        <n v="9862.15"/>
        <n v="4863.6"/>
        <n v="904.01"/>
        <n v="3502.75"/>
        <n v="1034.4"/>
        <n v="2707.5"/>
        <n v="2141.25"/>
        <n v="12423.7"/>
        <n v="8731.32"/>
        <n v="9316.12"/>
        <n v="130.05"/>
        <n v="1564.37"/>
        <n v="9271.76"/>
        <n v="2168.85"/>
        <n v="242.27"/>
        <n v="2559.0"/>
        <n v="11496.1"/>
        <n v="5385.65"/>
        <n v="9780.0"/>
        <n v="11122.85"/>
        <n v="1840.11"/>
        <n v="2081.9"/>
        <n v="1603.2"/>
        <n v="956.28"/>
        <n v="1898.36"/>
        <n v="12152.15"/>
        <n v="812.49"/>
        <n v="243.36"/>
        <n v="785.72"/>
        <n v="9035.7"/>
        <n v="8020.1"/>
        <n v="218.25"/>
        <n v="1524.07"/>
        <n v="9570.6"/>
        <n v="3976.0"/>
        <n v="3406.94"/>
        <n v="615.75"/>
        <n v="5646.66"/>
        <n v="1676.72"/>
        <n v="3022.16"/>
        <n v="8684.5"/>
        <n v="4481.08"/>
        <n v="6211.7"/>
        <n v="6630.48"/>
        <n v="1497.66"/>
        <n v="1741.05"/>
        <n v="648.92"/>
        <n v="3185.2"/>
        <n v="2654.54"/>
        <n v="9539.44"/>
        <n v="1138.92"/>
        <n v="3165.46"/>
        <n v="1362.97"/>
        <n v="5453.4"/>
        <n v="5888.37"/>
        <n v="785.65"/>
        <n v="3735.55"/>
        <n v="1030.99"/>
        <n v="2431.35"/>
        <n v="7592.15"/>
        <n v="10504.2"/>
        <n v="2522.44"/>
        <n v="2418.11"/>
        <n v="7499.31"/>
        <n v="2457.48"/>
        <n v="7606.96"/>
        <n v="3716.95"/>
        <n v="10478.2"/>
        <n v="2124.22"/>
        <n v="6815.45"/>
        <n v="1468.39"/>
        <n v="9115.75"/>
        <n v="8970.56"/>
        <n v="3782.7"/>
        <n v="9530.56"/>
        <n v="4595.0"/>
        <n v="8156.1"/>
        <n v="8404.72"/>
        <n v="9344.55"/>
        <n v="1898.24"/>
        <n v="1223.98"/>
        <n v="806.96"/>
        <n v="2897.12"/>
        <n v="174.28"/>
        <n v="1093.68"/>
        <n v="7188.75"/>
        <n v="3277.35"/>
        <n v="701.55"/>
        <n v="1664.74"/>
        <n v="3021.52"/>
        <n v="1237.66"/>
        <n v="3944.32"/>
        <n v="7937.68"/>
        <n v="3074.24"/>
        <n v="7329.56"/>
        <n v="1834.12"/>
        <n v="5338.02"/>
        <n v="4969.3"/>
        <n v="1484.36"/>
        <n v="4986.9"/>
        <n v="1010.17"/>
        <n v="12363.05"/>
        <n v="6964.36"/>
        <n v="3871.56"/>
        <n v="4795.35"/>
        <n v="1156.44"/>
        <n v="864.87"/>
        <n v="3492.96"/>
        <n v="2146.05"/>
        <n v="4236.6"/>
        <n v="1528.74"/>
        <n v="11241.75"/>
        <n v="4777.58"/>
        <n v="9375.24"/>
        <n v="421.74"/>
        <n v="6462.05"/>
        <n v="2199.08"/>
        <n v="2317.48"/>
        <n v="797.71"/>
        <n v="9305.0"/>
        <n v="1006.55"/>
        <n v="7557.12"/>
        <n v="2902.6"/>
        <n v="4533.42"/>
        <n v="1149.92"/>
        <n v="8790.8"/>
        <n v="273.01"/>
        <n v="434.9"/>
        <n v="2158.77"/>
        <n v="1912.53"/>
        <n v="10984.15"/>
        <n v="3984.3"/>
        <n v="5165.52"/>
        <n v="1522.98"/>
        <n v="8444.6"/>
        <n v="10786.85"/>
        <n v="2569.96"/>
        <n v="10571.0"/>
        <n v="7455.95"/>
        <n v="9245.35"/>
        <n v="6451.48"/>
        <n v="2682.68"/>
        <n v="2081.56"/>
        <n v="5252.2"/>
        <n v="3233.28"/>
        <n v="8371.48"/>
        <n v="3652.06"/>
        <n v="7782.68"/>
        <n v="1898.54"/>
        <n v="511.8"/>
        <n v="1114.02"/>
        <n v="2100.03"/>
        <n v="2242.24"/>
        <n v="3825.66"/>
        <n v="2537.76"/>
        <n v="6353.75"/>
        <n v="1682.96"/>
        <n v="1656.59"/>
        <n v="762.46"/>
        <n v="8314.05"/>
        <n v="855.84"/>
        <n v="542.22"/>
        <n v="1112.81"/>
        <n v="720.63"/>
        <n v="4447.92"/>
        <n v="763.62"/>
        <n v="1468.26"/>
        <n v="11782.5"/>
        <n v="56.71"/>
        <n v="4267.6"/>
        <n v="3336.6"/>
        <n v="7928.75"/>
        <n v="917.32"/>
        <n v="2984.65"/>
        <n v="1650.53"/>
        <n v="2114.99"/>
        <n v="507.6"/>
        <n v="4844.52"/>
        <n v="1082.94"/>
        <n v="5789.64"/>
        <n v="3492.56"/>
        <n v="11954.2"/>
        <n v="1415.48"/>
        <n v="2768.18"/>
        <n v="5799.21"/>
        <n v="7463.65"/>
        <n v="1170.2"/>
        <n v="2277.4"/>
        <n v="2656.76"/>
        <n v="1074.3"/>
        <n v="499.69"/>
        <n v="9768.92"/>
        <n v="4997.28"/>
        <n v="4667.44"/>
        <n v="302.94"/>
        <n v="4875.54"/>
        <n v="3845.34"/>
        <n v="8051.24"/>
        <n v="1673.73"/>
        <n v="5759.25"/>
        <n v="4128.0"/>
        <n v="3713.2"/>
        <n v="4151.82"/>
        <n v="4062.05"/>
        <n v="848.24"/>
        <n v="1787.41"/>
        <n v="1250.82"/>
        <n v="7181.76"/>
        <n v="3622.7"/>
        <n v="3331.46"/>
        <n v="1373.32"/>
        <n v="3799.32"/>
        <n v="3747.38"/>
        <n v="907.55"/>
        <n v="5146.1"/>
        <n v="2355.82"/>
        <n v="4855.29"/>
        <n v="2064.2"/>
        <n v="5762.2"/>
        <n v="3154.47"/>
        <n v="1339.47"/>
        <n v="879.78"/>
        <n v="4004.6"/>
        <n v="8898.44"/>
        <n v="563.11"/>
        <n v="1165.81"/>
        <n v="2874.76"/>
        <n v="4948.72"/>
        <n v="7507.52"/>
        <n v="1800.04"/>
        <n v="9040.9"/>
        <n v="3659.36"/>
        <n v="210.37"/>
        <n v="1767.16"/>
        <n v="3665.94"/>
        <n v="5796.6"/>
        <n v="361.47"/>
        <n v="339.04"/>
        <n v="2908.11"/>
        <n v="1318.47"/>
        <n v="1943.33"/>
        <n v="2040.92"/>
        <n v="1626.83"/>
        <n v="3411.03"/>
        <n v="3649.77"/>
        <n v="5709.4"/>
        <n v="833.62"/>
        <n v="1737.45"/>
        <n v="1346.1"/>
        <n v="5509.1"/>
        <n v="5530.11"/>
        <n v="627.26"/>
        <n v="5501.76"/>
        <n v="4192.47"/>
        <n v="4815.72"/>
        <n v="4325.91"/>
        <n v="2978.85"/>
        <n v="913.3"/>
        <n v="12026.55"/>
        <n v="1586.74"/>
        <n v="4061.4"/>
        <n v="2127.13"/>
        <n v="6765.87"/>
        <n v="3233.92"/>
        <n v="4285.64"/>
        <n v="878.72"/>
        <n v="6808.53"/>
        <n v="6006.63"/>
        <n v="877.11"/>
        <n v="1523.4"/>
        <n v="6132.76"/>
        <n v="3423.39"/>
        <n v="1781.52"/>
        <n v="1307.54"/>
        <n v="2357.06"/>
        <n v="3652.68"/>
        <n v="10956.2"/>
        <n v="276.58"/>
        <n v="12134.35"/>
        <n v="5385.5"/>
        <n v="2762.04"/>
        <n v="4862.67"/>
        <n v="2612.36"/>
        <n v="5287.8"/>
        <n v="2585.8"/>
        <n v="346.08"/>
        <n v="664.32"/>
        <n v="8740.16"/>
        <n v="4428.38"/>
        <n v="215.41"/>
        <n v="1097.51"/>
        <n v="3737.6"/>
        <n v="4743.2"/>
        <n v="1752.92"/>
        <n v="1053.8"/>
        <n v="1145.32"/>
        <n v="1017.27"/>
        <n v="4493.3"/>
        <n v="1347.85"/>
        <n v="6569.73"/>
        <n v="5650.15"/>
        <n v="4457.22"/>
        <n v="4710.36"/>
        <n v="7409.25"/>
        <n v="6955.84"/>
        <n v="5961.81"/>
        <n v="8200.7"/>
        <n v="4840.82"/>
        <n v="991.02"/>
        <n v="898.98"/>
        <n v="1532.34"/>
        <n v="7198.59"/>
        <n v="9635.4"/>
        <n v="1944.02"/>
        <n v="2320.42"/>
        <n v="536.87"/>
        <n v="2083.1"/>
        <n v="5877.25"/>
        <n v="5094.44"/>
        <n v="7013.3"/>
        <n v="591.27"/>
        <n v="2135.79"/>
        <n v="1505.12"/>
        <n v="2198.02"/>
        <n v="685.28"/>
        <n v="1249.46"/>
        <n v="1389.51"/>
        <n v="776.93"/>
        <n v="1622.48"/>
        <n v="4978.62"/>
        <n v="5546.85"/>
        <n v="793.75"/>
        <n v="1838.54"/>
        <n v="2423.13"/>
        <n v="3536.98"/>
        <n v="2009.76"/>
        <n v="289.48"/>
        <n v="443.81"/>
        <n v="6515.08"/>
        <n v="7008.84"/>
        <n v="1299.98"/>
        <n v="8844.25"/>
        <n v="518.45"/>
        <n v="10140.6"/>
        <n v="1284.06"/>
        <n v="1880.14"/>
        <n v="1061.61"/>
        <n v="1129.38"/>
        <n v="5543.4"/>
        <n v="12381.05"/>
        <n v="4621.04"/>
        <n v="2044.78"/>
        <n v="552.65"/>
        <n v="5814.4"/>
        <n v="6186.75"/>
        <n v="5417.25"/>
        <n v="2488.53"/>
        <n v="4136.68"/>
        <n v="1390.26"/>
        <n v="5753.64"/>
        <n v="6688.38"/>
        <n v="648.18"/>
        <n v="664.21"/>
        <n v="1649.44"/>
        <n v="1247.08"/>
        <n v="1261.2"/>
        <n v="6078.68"/>
        <n v="2441.25"/>
        <n v="6631.02"/>
        <n v="9463.65"/>
        <n v="3154.4"/>
        <n v="2439.5"/>
        <n v="8057.32"/>
        <n v="7216.44"/>
        <n v="2293.23"/>
        <n v="3426.36"/>
        <n v="4643.44"/>
        <n v="6481.95"/>
        <n v="9190.48"/>
        <n v="8977.95"/>
        <n v="2087.73"/>
        <n v="3504.9"/>
        <n v="1654.16"/>
        <n v="1127.84"/>
        <n v="3423.5"/>
        <n v="2993.28"/>
        <n v="1687.5"/>
        <n v="1259.75"/>
        <n v="1705.71"/>
        <n v="2982.72"/>
        <n v="3251.73"/>
        <n v="9019.64"/>
        <n v="8077.15"/>
        <n v="411.02"/>
        <n v="3328.92"/>
        <n v="11280.2"/>
        <n v="2465.44"/>
        <n v="825.16"/>
        <n v="890.66"/>
        <n v="3625.26"/>
        <n v="10744.95"/>
        <n v="1560.05"/>
        <n v="3342.3"/>
        <n v="2261.15"/>
        <n v="157.89"/>
        <n v="6181.05"/>
        <n v="656.82"/>
        <n v="157.06"/>
        <n v="2294.28"/>
        <n v="90.89"/>
        <n v="5856.16"/>
        <n v="2761.04"/>
        <n v="7611.76"/>
        <n v="2281.58"/>
        <n v="4077.2"/>
        <n v="2227.82"/>
        <n v="2246.48"/>
        <n v="1488.3"/>
        <n v="5027.3"/>
        <n v="379.11"/>
        <n v="6968.48"/>
        <n v="2286.48"/>
        <n v="1955.27"/>
        <n v="1440.56"/>
        <n v="3273.78"/>
        <n v="4896.0"/>
        <n v="4700.64"/>
        <n v="4193.1"/>
        <n v="778.5"/>
        <n v="832.25"/>
        <n v="3489.9"/>
        <n v="3731.1"/>
        <n v="2363.34"/>
        <n v="3004.89"/>
        <n v="1708.81"/>
        <n v="7011.0"/>
        <n v="85.19"/>
        <n v="961.8"/>
        <n v="3853.62"/>
        <n v="4870.3"/>
        <n v="3616.3"/>
        <n v="7878.76"/>
        <n v="2351.13"/>
        <n v="521.76"/>
        <n v="1634.06"/>
        <n v="6662.4"/>
        <n v="1366.45"/>
        <n v="1565.6"/>
        <n v="3594.93"/>
        <n v="2278.24"/>
        <n v="6688.52"/>
        <n v="6412.08"/>
        <n v="3230.13"/>
        <n v="4813.0"/>
        <n v="6235.65"/>
        <n v="460.41"/>
        <n v="3338.52"/>
        <n v="5074.36"/>
        <n v="724.64"/>
        <n v="1868.2"/>
        <n v="7831.8"/>
        <n v="288.64"/>
        <n v="4656.64"/>
        <n v="494.57"/>
        <n v="10728.8"/>
        <n v="4233.38"/>
        <n v="2312.52"/>
        <n v="2064.08"/>
        <n v="710.96"/>
        <n v="2083.24"/>
        <n v="2455.83"/>
        <n v="7169.91"/>
        <n v="1994.18"/>
        <n v="9697.8"/>
        <n v="787.6"/>
        <n v="3421.04"/>
        <n v="1634.62"/>
        <n v="303.3"/>
        <n v="303.05"/>
        <n v="806.78"/>
        <n v="2224.59"/>
        <n v="1423.68"/>
        <n v="3290.05"/>
        <n v="1685.08"/>
        <n v="814.63"/>
        <n v="1027.85"/>
        <n v="1571.64"/>
        <n v="1220.85"/>
        <n v="9124.04"/>
        <n v="3816.05"/>
        <n v="3423.76"/>
        <n v="6262.35"/>
        <n v="5595.85"/>
        <n v="4211.8"/>
        <n v="7085.0"/>
        <n v="3731.16"/>
        <n v="4845.21"/>
        <n v="1627.59"/>
        <n v="6801.64"/>
        <n v="1035.07"/>
        <n v="3857.85"/>
        <n v="5094.84"/>
        <n v="1808.04"/>
        <n v="3288.84"/>
        <n v="4061.24"/>
        <n v="7028.05"/>
        <n v="2258.32"/>
        <n v="6931.83"/>
        <n v="7276.65"/>
        <n v="944.98"/>
        <n v="5630.22"/>
        <n v="10158.95"/>
        <n v="1031.51"/>
        <n v="1758.08"/>
        <n v="292.99"/>
        <n v="3151.7"/>
        <n v="2160.93"/>
        <n v="11548.8"/>
        <n v="633.29"/>
        <n v="2654.7"/>
        <n v="127.35"/>
        <n v="5041.4"/>
        <n v="9500.05"/>
        <n v="1254.96"/>
        <n v="432.18"/>
        <n v="4746.24"/>
        <n v="1160.28"/>
        <n v="841.77"/>
        <n v="3003.9"/>
        <n v="3845.05"/>
        <n v="7538.45"/>
        <n v="10434.55"/>
        <n v="4371.84"/>
        <n v="2114.97"/>
        <n v="8308.72"/>
        <n v="7738.55"/>
        <n v="7778.92"/>
        <n v="1459.53"/>
        <n v="2039.46"/>
        <n v="5010.33"/>
        <n v="10043.9"/>
        <n v="7383.78"/>
        <n v="8897.68"/>
        <n v="1979.07"/>
        <n v="2795.6"/>
        <n v="3273.3"/>
        <n v="10931.25"/>
        <n v="4702.65"/>
        <n v="6870.68"/>
        <n v="778.63"/>
        <n v="11259.6"/>
        <n v="1770.14"/>
        <n v="489.63"/>
        <n v="3126.3"/>
        <n v="784.39"/>
        <n v="3439.06"/>
        <n v="4308.65"/>
        <n v="4944.0"/>
        <n v="6786.52"/>
        <n v="8316.1"/>
        <n v="5975.91"/>
        <n v="9590.2"/>
        <n v="10577.7"/>
        <n v="12348.75"/>
        <n v="4349.78"/>
        <n v="4595.68"/>
        <n v="4990.12"/>
        <n v="2276.61"/>
        <n v="4883.4"/>
        <n v="1465.56"/>
        <n v="612.22"/>
        <n v="1976.88"/>
        <n v="4007.84"/>
        <n v="2598.4"/>
        <n v="3682.84"/>
        <n v="5445.15"/>
        <n v="2002.96"/>
        <n v="3143.64"/>
        <n v="685.68"/>
        <n v="4273.16"/>
        <n v="869.7"/>
        <n v="11359.9"/>
        <n v="9845.8"/>
        <n v="2545.26"/>
        <n v="2334.37"/>
        <n v="3241.75"/>
        <n v="8970.45"/>
        <n v="1974.72"/>
        <n v="3299.16"/>
        <n v="4225.92"/>
        <n v="3728.08"/>
        <n v="10701.65"/>
        <n v="554.25"/>
        <n v="346.72"/>
        <n v="5805.45"/>
        <n v="7694.24"/>
        <n v="11318.9"/>
        <n v="3663.12"/>
        <n v="4766.84"/>
        <n v="314.84"/>
        <n v="3448.62"/>
        <n v="1118.76"/>
        <n v="1769.76"/>
        <n v="2108.31"/>
        <n v="9044.48"/>
        <n v="6310.0"/>
        <n v="844.32"/>
        <n v="4247.6"/>
        <n v="4611.12"/>
        <n v="5381.82"/>
        <n v="2144.75"/>
        <n v="4927.11"/>
        <n v="317.64"/>
        <n v="4354.64"/>
        <n v="5825.84"/>
        <n v="4418.16"/>
        <n v="1205.76"/>
        <n v="4948.95"/>
        <n v="695.92"/>
        <n v="4026.44"/>
        <n v="4136.18"/>
        <n v="2929.08"/>
        <n v="3100.25"/>
        <n v="3995.43"/>
        <n v="2856.72"/>
        <n v="3963.0"/>
        <n v="1811.9"/>
        <n v="2686.8"/>
        <n v="6194.76"/>
        <n v="8598.36"/>
        <n v="619.4"/>
        <n v="2086.06"/>
        <n v="6058.62"/>
        <n v="3292.32"/>
        <n v="6884.88"/>
        <n v="674.45"/>
        <n v="3090.56"/>
        <n v="1615.92"/>
      </sharedItems>
    </cacheField>
    <cacheField name="Cliente" numFmtId="0">
      <sharedItems>
        <s v="Rebeca Salvador Gamez García"/>
        <s v="Evelio Ramiro Arce"/>
        <s v="Sandra Baez"/>
        <s v="Uriel Helena Caldera"/>
        <s v="Wendolin Jeronimo Farías"/>
        <s v="Esteban Ureña"/>
        <s v="Aida Ojeda Galindo"/>
        <s v="Cristal Luis Manuel Sanchez"/>
        <s v="Daniela Padron"/>
        <s v="Lic. Elena Zepeda"/>
        <s v="Cristal Rincon"/>
        <s v="Francisca Lucas Jaimes Zavala"/>
        <s v="Elisa Soria"/>
        <s v="Rosalia Alcantar"/>
        <s v="Fernando Marquez Almaraz"/>
        <s v="Indira Guadalupe Montez Alcaraz"/>
        <s v="Ing. María José Noriega"/>
        <s v="Mtro. César Verduzco"/>
        <s v="Ernesto Rendon"/>
        <s v="Julio César Fernando Cordero"/>
        <s v="Augusto Oswaldo Arce Guardado"/>
        <s v="Maximiliano Omar Brito Vega"/>
        <s v="Alejandra Najera Miramontes"/>
        <s v="Benjamín Marcela Lucero"/>
        <s v="Eloy Godoy del Río"/>
        <s v="Luis Manuel Ilse Apodaca"/>
        <s v="Eugenio Juana Orta Chapa"/>
        <s v="Octavio Briseño Corrales"/>
        <s v="Patricio Puga"/>
        <s v="Antonio Adriana Razo"/>
        <s v="Isabel Maya"/>
        <s v="Lic. Carlota Ontiveros"/>
        <s v="Itzel Puente Téllez"/>
        <s v="Daniela Uribe"/>
        <s v="Gustavo Berta Aragon"/>
        <s v="Lorenzo Wendolin Méndez Gollum"/>
        <s v="Serafín Samuel Tamayo Baez"/>
        <s v="Irene Domínguez"/>
        <s v="María Cristina Valdivia Mondragon"/>
        <s v="Diego Fernandez"/>
        <s v="Dolores Jesús Quiñonez Lebron"/>
        <s v="Karina Jeronimo Pérez Mojica"/>
        <s v="Octavio Isabela Barraza"/>
        <s v="Mariano Fuentes Esquibel"/>
        <s v="Asuncion Samaniego"/>
        <s v="Marcela Paez"/>
        <s v="Alta  Gracia Alicia Guzman"/>
        <s v="Rodrigo Vanegas Serna"/>
        <s v="Luis Camila Guardado"/>
        <s v="Mtro. Rafaél Najera"/>
        <s v="Clemente Lucas de la Crúz Florez"/>
        <s v="Ing. Cecilia Gurule"/>
        <s v="Elias Juan Carlos Estévez Cepeda"/>
        <s v="Alta  Gracia Marrero Ocasio"/>
        <s v="Esmeralda Bañuelos"/>
        <s v="Angélica Bueno Olvera"/>
        <s v="Roberto Casarez Lozada"/>
        <s v="Dr. Pedro Zapata"/>
        <s v="Mtro. Salma de la Garza"/>
        <s v="Tania Soto Nieves"/>
        <s v="Leticia Luevano Mayorga"/>
        <s v="Lic. Leonel Orosco"/>
        <s v="Hernan Anguiano"/>
        <s v="Dr. Yolanda Miranda"/>
        <s v="Ing. Judith Ayala"/>
        <s v="Carmen Rufino Téllez Benavides"/>
        <s v="Wendolin Fonseca"/>
        <s v="Mariano Leticia Palomino"/>
        <s v="Veronica Wendolin Teran"/>
        <s v="Sandra Marisol Vergara"/>
        <s v="Sr(a). Julio César Collazo"/>
        <s v="Mariana Jeronimo Partida Tejeda"/>
        <s v="Alma Galvan"/>
        <s v="Lic. Santiago Montenegro"/>
        <s v="Jorge Sepúlveda"/>
        <s v="Fernando Almanza Duran"/>
        <s v="Sr(a). Camilo Partida"/>
        <s v="Ing. Ilse Ocasio"/>
        <s v="José Manuél Indira Ledesma Treviño"/>
        <s v="Vanesa José Santana"/>
        <s v="Eloisa Orta"/>
        <s v="Cristal Andrés Gomez"/>
        <s v="Elena Ballesteros"/>
        <s v="Rocío Villareal"/>
        <s v="Natividad Armenta Espino"/>
        <s v="Aurora Esteban Sisneros Centeno"/>
        <s v="Lic. Abraham Guillen"/>
        <s v="Sr(a). Aurelio Lemus"/>
        <s v="Abel Emilio Robledo"/>
        <s v="Mtro. Estela Villanueva"/>
        <s v="Enrique Crespo Alvarez"/>
        <s v="Víctor Jaramillo"/>
        <s v="Asuncion Badillo"/>
        <s v="Rosalia Florencia Contreras"/>
        <s v="Diego Armando Portillo"/>
        <s v="Dr. Diana Olivas"/>
        <s v="Rufino Lucero Urrutia"/>
        <s v="Fabiola Angélica Bravo"/>
        <s v="Lourdes Godoy Niño"/>
        <s v="Guillermina Carbajal"/>
        <s v="Leonardo José Luis Manzanares Trujillo"/>
        <s v="Abel Leticia Calderon Gallegos"/>
        <s v="Mauricio Pamela Villegas"/>
        <s v="Josefina Zarate"/>
        <s v="Olga Castillo Longoria"/>
        <s v="Sr(a). Luis Manuel Arriaga"/>
        <s v="Antonio Jesús Vallejo Bravo"/>
        <s v="René Rafaél Rocha"/>
        <s v="Rodrigo Aldonza Polanco"/>
        <s v="José Luis Alarcon"/>
        <s v="Hermelinda Clemente Sisneros"/>
        <s v="Javier Ofelia Quintanilla Villa"/>
        <s v="Rufino Amador Ochoa"/>
        <s v="Cristina Esteban Quintero"/>
        <s v="Estefanía Modesto Lebron Figueroa"/>
        <s v="Carlos Esteban Nieves Zarate"/>
        <s v="Sr(a). David Preciado"/>
        <s v="Bianca Ávalos Cantú"/>
        <s v="Veronica Jurado Gonzales"/>
        <s v="Dr. Estefanía Piña"/>
        <s v="Alfredo Cintron"/>
        <s v="Daniel Campos"/>
        <s v="Olivia Zavala"/>
        <s v="Estela Zamora Téllez"/>
        <s v="Eric Amador Santiago"/>
        <s v="Vanesa Valverde Gaona"/>
        <s v="Lic. Alfredo Florez"/>
        <s v="Alejandro Hermelinda Mondragon Alvarado"/>
        <s v="Ing. Guadalupe Borrego"/>
        <s v="Carmen Macías"/>
        <s v="Sr(a). Manuel Torrez"/>
        <s v="Minerva Lorena Santana Botello"/>
        <s v="Nadia Fernando Guerra Arroyo"/>
        <s v="Abraham Loera Mondragon"/>
        <s v="Mtro. Bianca Mayorga"/>
        <s v="Esperanza Victoria Rendon"/>
        <s v="Agustín Esparza"/>
        <s v="Guillermina Bañuelos Varela"/>
        <s v="Alejandro Tomas Arellano"/>
        <s v="Ana Perla Zavala Laboy"/>
        <s v="Sr(a). Ricardo Velasco"/>
        <s v="Abril Julio Torrez Segovia"/>
        <s v="Bruno Samuel Acosta Rascon"/>
        <s v="Octavio Santacruz Lucero"/>
        <s v="Alma Mondragon Elizondo"/>
        <s v="Omar Irene Corral"/>
        <s v="Abelardo Héctor Brito Solorzano"/>
        <s v="Julia Gonzalo Armendariz"/>
        <s v="Indira Eric Rentería Velazquez"/>
        <s v="César Burgos Florez"/>
        <s v="Juan Lopez"/>
        <s v="Omar Carla Miranda"/>
        <s v="Virginia Irma Rolon Arteaga"/>
        <s v="Pedro Tamayo"/>
        <s v="Amanda Cantú Segura"/>
        <s v="Mtro. Flavio Teran"/>
        <s v="Andrés Brito"/>
        <s v="César Barrera Orta"/>
        <s v="Jacobo Adan Aparicio Tejada"/>
        <s v="César Fabiola Palacios"/>
        <s v="Patricio Narvaez Holguín"/>
        <s v="Israel Barragan"/>
        <s v="Ing. Elsa Prieto"/>
        <s v="Bianca Abel Valentín Alarcon"/>
        <s v="Emiliano Liliana Olivares Bañuelos"/>
        <s v="Marcos Adriana Orosco Bétancourt"/>
        <s v="Aldo Lira"/>
        <s v="Delia Wilfrido Valladares Tapia"/>
        <s v="Evelio Holguín Galarza"/>
        <s v="Gonzalo Cortés Nieto"/>
        <s v="Tania José Salcedo"/>
        <s v="Ignacio Leonor Guajardo"/>
        <s v="Ing. Vanesa Bustos"/>
        <s v="Órsula Guardado"/>
        <s v="Esperanza Domínguez"/>
        <s v="Sr(a). Carlota Torrez"/>
        <s v="Lilia Bétancourt Parra"/>
        <s v="Luisa Gilberto Trujillo"/>
        <s v="María Cristina Rebeca Quiñones Davila"/>
        <s v="Dalia María Cristina Robledo Escobar"/>
        <s v="Karina Galvez Duran"/>
        <s v="Nancy Horacio Porras"/>
        <s v="Dr. Agustín Sandoval"/>
        <s v="German Corral"/>
        <s v="German Leon"/>
        <s v="Estela Tijerina"/>
        <s v="Lic. Anel Cervantez"/>
        <s v="Lic. Ignacio Corrales"/>
        <s v="Mariano Borrego"/>
        <s v="Barbara Perla Godínez"/>
        <s v="Veronica de Leon Covarrubias"/>
        <s v="Carmen Colunga"/>
        <s v="Wendolin Elvia Osorio Gallardo"/>
        <s v="Sandra Cornelio Nava Galarza"/>
        <s v="Eugenio Monica Reséndez"/>
        <s v="Espartaco Godoy Fuentes"/>
        <s v="Judith José María Menchaca Nieves"/>
        <s v="Dr. Emilio Leiva"/>
        <s v="Yeni Tafoya"/>
        <s v="Noemí Julia Zepeda"/>
        <s v="Victoria Gurule"/>
        <s v="Dolores Minerva Frías Baeza"/>
        <s v="Aldonza Arriaga"/>
        <s v="Liliana Pedraza"/>
        <s v="Hilda Soto Serna"/>
        <s v="Jonas Corrales"/>
        <s v="Berta Aldonza Toro Colunga"/>
        <s v="Mercedes Amanda Jurado Centeno"/>
        <s v="Eric Lorenzo Raya"/>
        <s v="José Carlos Soledad Osorio Rodrígez"/>
        <s v="Lic. Mariana Urbina"/>
        <s v="Mateo Flavio Uribe García"/>
        <s v="Manuel Ivan Alarcon Noriega"/>
        <s v="Agustín Rocha"/>
        <s v="Luz Eduardo Villegas Leon"/>
        <s v="Lorenzo Zaragoza Niño"/>
        <s v="Magdalena del Río Covarrubias"/>
        <s v="Nadia Ana María Merino Arteaga"/>
        <s v="Ing. Marcela Guzman"/>
        <s v="Marisol Espinosa Briones"/>
        <s v="Victoria Cabrera Armenta"/>
        <s v="Paulina Garibay Gracia"/>
        <s v="Olga Evelio Solorio"/>
        <s v="Alfonso Alejandra Aguilera"/>
        <s v="Marcos Amador"/>
        <s v="Lic. Rosalia Martínez"/>
        <s v="Lic. Juan Ortega"/>
        <s v="María Eugenia Guajardo Ayala"/>
        <s v="Elvia Pulido Brito"/>
        <s v="Leonel Ponce"/>
        <s v="Ignacio de la Garza"/>
        <s v="Martha Tamayo Niño"/>
        <s v="Elsa Alonso Rivera"/>
        <s v="Concepcion Isabel Becerra del Valle"/>
        <s v="Zoé Claudia Barraza Cornejo"/>
        <s v="Ing. Hernan Vallejo"/>
        <s v="María Cristina Raquel Carranza Orosco"/>
        <s v="Violeta Celia Valverde"/>
        <s v="Yolanda Rafaél Gamez"/>
        <s v="Laura Vaca Madera"/>
        <s v="Hermelinda Mota"/>
        <s v="Ángel Aldo Tello Noriega"/>
        <s v="Mtro. Magdalena Morales"/>
        <s v="Lorenzo Minerva Ocampo Aguilar"/>
        <s v="Arcelia Nieves"/>
        <s v="Frida Alba"/>
        <s v="Mtro. Carmen Leyva"/>
        <s v="Alejandra Araceli Gutiérrez"/>
        <s v="Jeronimo Julia Peralta"/>
        <s v="Sr(a). Vicente Ureña"/>
        <s v="Ing. Alejandra Delgadillo"/>
        <s v="Antonio Juana Soria"/>
        <s v="Patricio Palomino"/>
        <s v="Elias Sotelo Espinal"/>
        <s v="Mtro. Camila Montemayor"/>
        <s v="Aldonza Hernan Sosa"/>
        <s v="Gabino Conchita Bueno"/>
        <s v="Ruby Virginia Salcido"/>
        <s v="Cristian Jacinto Ornelas"/>
        <s v="Eloisa Octavio Quintero"/>
        <s v="Reynaldo Darío Rivas"/>
        <s v="Nelly Hernan Ríos Guardado"/>
        <s v="Gerardo Monica Cornejo Collado"/>
        <s v="Esparta Gracia"/>
        <s v="Citlali Jorge Gastélum"/>
        <s v="René Luna Pineda"/>
        <s v="Jaime Gomez"/>
        <s v="Camilo Terrazas Merino"/>
        <s v="Ramon Godoy"/>
        <s v="Amador Juan Tafoya Hinojosa"/>
        <s v="Yuridia Madrid"/>
        <s v="Humberto Rosas"/>
        <s v="Ing. Liliana Puente"/>
        <s v="Miguel Luis Giron Montañez"/>
        <s v="Karla Berríos"/>
        <s v="Íliver Ulloa"/>
        <s v="María José Zeferino Avilés Zarate"/>
        <s v="Sr(a). Ángela Navarro"/>
        <s v="Sergio Hugo Benavídez García"/>
        <s v="Salvador Barela"/>
        <s v="Sr(a). Carlota Aguayo"/>
        <s v="Sr(a). Monica Cortez"/>
        <s v="Abel Véliz"/>
        <s v="Gilberto Arellano Lozano"/>
        <s v="Cristina Miguel Madrid"/>
        <s v="Ing. Blanca Alfaro"/>
        <s v="Rocío José Luis Villareal Vargas"/>
        <s v="Ing. Cristina Gamez"/>
        <s v="Mtro. Zeferino Oquendo"/>
        <s v="Julio Fuentes"/>
        <s v="Lic. Pedro Jasso"/>
        <s v="Lic. Patricia Feliciano"/>
        <s v="Fidel Celia Roque Vallejo"/>
        <s v="Victoria Wendolin Terrazas Carvajal"/>
        <s v="Mtro. Emiliano Estévez"/>
        <s v="Ing. Mitzy Ordoñez"/>
        <s v="Alfonso Geronimo Tovar Merino"/>
        <s v="Jeronimo José Manuél Magaña"/>
        <s v="Oswaldo Jorge Mota"/>
        <s v="Zeferino Clara Ureña Ramos"/>
        <s v="Eva Julio Corrales"/>
        <s v="Eva Rivas Gallardo"/>
        <s v="Gilberto Tamez Sanches"/>
        <s v="Elias Carmen Téllez"/>
        <s v="Socorro Arcelia Alejandro"/>
        <s v="Alejandro Aida Esquibel Candelaria"/>
        <s v="Camila Arcelia Enríquez Hinojosa"/>
        <s v="Claudio Ana Aguirre Urías"/>
        <s v="Adan Perla Orosco"/>
        <s v="Ing. Fernando Calderon"/>
        <s v="Sr(a). Carla Nevarez"/>
        <s v="Eduardo Benavídez Leal"/>
        <s v="Elena Guardado Enríquez"/>
        <s v="Julia Najera"/>
        <s v="Uriel Abel Rivero Vargas"/>
        <s v="José Manuél Barrios"/>
        <s v="Mtro. Perla Meléndez"/>
        <s v="Santiago Frías"/>
        <s v="Elvira Laboy"/>
        <s v="Sr(a). Lucía Montoya"/>
        <s v="Cynthia Aguilera Figueroa"/>
        <s v="Arturo Haro Varela"/>
        <s v="Marcela Augusto Baca"/>
        <s v="Israel Paredes"/>
        <s v="Lorenzo Collado Gastélum"/>
        <s v="Amanda Baez"/>
        <s v="Ing. Pilar Laboy"/>
        <s v="Cecilia Casas Ledesma"/>
        <s v="Órsula Cristian Ledesma Lara"/>
        <s v="Lic. Berta Cortés"/>
        <s v="Eugenio Marcos Lara"/>
        <s v="Catalina Adela Galarza Camacho"/>
        <s v="Jesús Jimínez"/>
        <s v="Ing. Abraham Giron"/>
        <s v="Marisol Lucio Perea"/>
        <s v="Esperanza Pablo Villa Segovia"/>
        <s v="Dr. Eloy Valles"/>
        <s v="Susana Valadez de la Crúz"/>
        <s v="Emilio Alva"/>
        <s v="Micaela Zavala Borrego"/>
        <s v="Cristobal Frida Lucero Chapa"/>
        <s v="Abril Fonseca"/>
        <s v="Dr. Ramon Miramontes"/>
        <s v="María Cristina Esparta Partida Lozano"/>
        <s v="Daniel Carlota Arredondo Linares"/>
        <s v="Íliver Julio César Cervantes"/>
        <s v="Emilio Peres"/>
        <s v="Dr. Irma Bañuelos"/>
        <s v="Federico Matías"/>
        <s v="Elena Delgado Menéndez"/>
        <s v="Rubén Cecilia Zarate"/>
        <s v="Martín Salma Bermúdez"/>
        <s v="Emiliano Emilio Cuellar"/>
        <s v="Lic. Estela Vanegas"/>
        <s v="Ángela Homero Bravo"/>
        <s v="Lilia Esteban Lucio"/>
        <s v="Indira Eugenia Fuentes"/>
        <s v="Olivia Amelia Cadena"/>
        <s v="Lic. Arturo Barraza"/>
        <s v="Mtro. Andrea Ríos"/>
        <s v="Alvaro Ontiveros"/>
        <s v="Ing. Zacarías Padron"/>
        <s v="German Bustos"/>
        <s v="Darío Antonia Medrano"/>
        <s v="Lic. Marisol Toledo"/>
        <s v="José Aparicio"/>
        <s v="César Jimínez"/>
        <s v="Maximiliano Puga"/>
        <s v="Miguel Granados Oquendo"/>
        <s v="Dr. Zoé Alejandro"/>
        <s v="Dr. Graciela Garibay"/>
        <s v="Mtro. Marcos Rivas"/>
        <s v="Federico Angulo"/>
        <s v="Virginia Aldonza Zamora Longoria"/>
        <s v="Diego Valdez"/>
        <s v="Caridad Alvarado"/>
        <s v="Ing. Zacarías Galvan"/>
        <s v="Camilo Cervantez"/>
        <s v="Graciela Merino"/>
        <s v="Dr. César Portillo"/>
        <s v="Gloria Caban Santana"/>
        <s v="Yolanda Elisa de la Garza"/>
        <s v="Cristobal Renato Malave Mercado"/>
        <s v="Olga Merino Benavides"/>
        <s v="Cristina Alejandro"/>
        <s v="Jaqueline Velasquez Hidalgo"/>
        <s v="Paulina Cornejo"/>
        <s v="Gerardo Elisa Franco"/>
        <s v="Uriel José María Mercado"/>
        <s v="Bernabé Colunga Cordero"/>
        <s v="Dulce María Rendon Zedillo"/>
        <s v="Wilfrido Mariana Rivero Martínez"/>
        <s v="Sara Jorge Alvarez"/>
        <s v="Alma Karina Munguía Paredes"/>
        <s v="Sr(a). Mario Cortés"/>
        <s v="Jeronimo Evelio Serrano Almonte"/>
        <s v="Isabel Quiroz"/>
        <s v="Margarita Guadalupe Ceja"/>
        <s v="Diego Benito Ramos Galvan"/>
        <s v="Tomas Cabrera Tijerina"/>
        <s v="Ana María Palacios Cardenas"/>
        <s v="Delia Jacinto Quintanilla Olvera"/>
        <s v="Olga Frías Paz"/>
        <s v="Guadalupe Marisol Negron Cazares"/>
        <s v="Mariana Guerrero Arreola"/>
        <s v="Eric Montañez Velazquez"/>
        <s v="Carolina Caban Urías"/>
        <s v="Timoteo Abelardo Urías Niño"/>
        <s v="Ricardo Eugenio Meza"/>
        <s v="Abril Ríos"/>
        <s v="Lic. Andrea Altamirano"/>
        <s v="Dalia Sosa"/>
        <s v="Abel Toro"/>
        <s v="Esther Casares"/>
        <s v="Cristina Anguiano"/>
        <s v="Marisol Santana"/>
        <s v="Benjamín Luisa Marrero Frías"/>
        <s v="Mariano Corrales Orosco"/>
        <s v="Anel Marco Antonio Patiño"/>
        <s v="Carlota Julio de Jesús"/>
        <s v="Norma Gastélum Estévez"/>
        <s v="Gilberto Mascareñas"/>
        <s v="Concepcion Elias Alonso Garrido"/>
        <s v="Cynthia Rolon"/>
        <s v="Emiliano Ofelia Luevano"/>
        <s v="Alejandra Marco Antonio Salas Contreras"/>
        <s v="Dr. Salma de Anda"/>
        <s v="Dr. Pascual Bravo"/>
        <s v="Estefanía Ruiz"/>
        <s v="Dr. Rosa Serrano"/>
        <s v="Dr. Cristobal Villa"/>
        <s v="Federico Guillermina Vargas"/>
        <s v="Dr. Abel Salcedo"/>
        <s v="Ernesto Cavazos"/>
        <s v="Emilia Federico Altamirano"/>
        <s v="Mtro. Alfredo de la Fuente"/>
        <s v="Helena Salvador Alba"/>
        <s v="Alonso Ignacio Hidalgo Montes"/>
        <s v="Espartaco Esperanza Armenta Gaitan"/>
        <s v="Ivonne Georgina Arenas"/>
        <s v="Mayte Muro"/>
        <s v="Amelia Baca"/>
        <s v="Irene Saldivar"/>
        <s v="Ángel Davila"/>
        <s v="Ing. Amanda Prado"/>
        <s v="Berta Tania Méndez Lebron"/>
        <s v="Guillermo Diana Curiel Verdugo"/>
        <s v="Hilda Vergara Tirado"/>
        <s v="Camilo Eric Medina"/>
        <s v="Emilio Campos Grijalva"/>
        <s v="Monica Cristal Chacon Candelaria"/>
        <s v="Emiliano Violeta Anguiano Paz"/>
        <s v="Oswaldo Trujillo Torrez"/>
        <s v="Nadia Pérez Medina"/>
        <s v="José Luis Ana María Robledo Cortés"/>
        <s v="Ing. Bruno Miranda"/>
        <s v="Barbara Urrutia Palacios"/>
        <s v="Ivan Amaya"/>
        <s v="Alma Leonel Morales Anguiano"/>
        <s v="David José Luis Espinosa Alonso"/>
        <s v="Alonso Gutiérrez Gonzales"/>
        <s v="Lic. Luz de la Garza"/>
        <s v="Alonso Paola Rocha"/>
        <s v="Andrea Almaraz Barajas"/>
        <s v="Natalia Carmen Madrid"/>
        <s v="Bruno Hernan Rivero"/>
        <s v="Sessa Blanco"/>
        <s v="Mtro. Alberto Calvillo"/>
        <s v="Patricio Abigail Meza"/>
        <s v="María Renato Ochoa Aguilera"/>
        <s v="María Gonzalez"/>
        <s v="Dalia Cornelio Treviño de la O"/>
        <s v="Soledad Yeni Gonzales"/>
        <s v="Benito Montañez"/>
        <s v="Abril Rolando Cardona"/>
        <s v="Paola Leyva Maestas"/>
        <s v="Diana Garza Alfaro"/>
        <s v="Silvano Alvaro Enríquez Pineda"/>
        <s v="Trinidad Holguín Bustamante"/>
        <s v="Carmen Elvira Medina"/>
        <s v="Karla Amelia Garrido Zedillo"/>
        <s v="Victoria Galvan"/>
        <s v="Sr(a). Juana Rangel"/>
        <s v="Conchita Barrientos Olvera"/>
        <s v="Mtro. Débora Escamilla"/>
        <s v="Blanca Galarza"/>
        <s v="Dr. Isabela Amador"/>
        <s v="Ivan Fuentes Fierro"/>
        <s v="Omar Nelly Gamboa"/>
        <s v="Eloy Jaime Mercado Roldan"/>
        <s v="Gregorio Cristal Amaya Zelaya"/>
        <s v="José Carlos Rojo Paez"/>
        <s v="Nayeli Abrego"/>
        <s v="Asuncion Rebeca Rivero"/>
        <s v="Sr(a). Armando Carreon"/>
        <s v="Inés Griego Lemus"/>
        <s v="Santiago Perla Carrero"/>
        <s v="Benjamín Octavio Gaona"/>
        <s v="Dr. Lucas Barela"/>
        <s v="Dr. Adela Alcala"/>
        <s v="Magdalena Carlota Pérez"/>
        <s v="Silvano Villanueva Alcaraz"/>
        <s v="Blanca Gabriela Arenas"/>
        <s v="Natividad Fernando Gastélum"/>
        <s v="Víctor Anguiano"/>
        <s v="Ofelia Francisco Javier Rojas"/>
        <s v="Ing. Marcela Linares"/>
        <s v="Lic. Cristobal Ortega"/>
        <s v="Fidel Mateo Parra Ulloa"/>
        <s v="Ing. Esteban Curiel"/>
        <s v="Gabino Barrera Quiroz"/>
        <s v="Ing. Georgina Preciado"/>
        <s v="José Eduardo Conchita Barrientos Pulido"/>
        <s v="Lucía Irma Zúñiga"/>
        <s v="Gilberto Mitzy Aguirre Macías"/>
        <s v="Ing. Catalina Montenegro"/>
        <s v="Alicia Agustín Piña"/>
        <s v="Karla Pineda Arriaga"/>
        <s v="Marco Antonio Mercado Henríquez"/>
        <s v="Sr(a). Jos Venegas"/>
        <s v="Ana María Verdugo Pichardo"/>
        <s v="Omar Casares Benavídez"/>
        <s v="Mario Fidel Laureano Castro"/>
        <s v="Hilda Razo Lerma"/>
        <s v="José Emilio Herrera Sanabria"/>
        <s v="Marisol Veronica Velasquez"/>
        <s v="Sr(a). Alta  Gracia Espino"/>
        <s v="Laura Baez"/>
        <s v="Mateo Raúl Sosa Arreola"/>
        <s v="Aldo Fonseca"/>
        <s v="Abigail Castillo"/>
        <s v="Hilda Monica Acuña Zedillo"/>
        <s v="Mauricio Oquendo Bustos"/>
        <s v="Hernan Rael"/>
        <s v="Esther Duran"/>
        <s v="Lourdes Reyes Valladares"/>
        <s v="Elias Dulce Figueroa"/>
        <s v="Cristal Leticia Varela Soliz"/>
        <s v="Martín Sara Verduzco"/>
        <s v="Rodrigo Yeni Avilés"/>
        <s v="Eugenia Zambrano Casas"/>
        <s v="Dr. Felix Pizarro"/>
        <s v="Araceli Ulloa Blanco"/>
        <s v="Espartaco Arguello Bustamante"/>
        <s v="Noelia Leon Sanches"/>
        <s v="Frida Arroyo Zepeda"/>
        <s v="Norma Celia Leiva Bañuelos"/>
        <s v="Timoteo Cynthia Cordero"/>
        <s v="Dr. Rolando Mares"/>
        <s v="Jorge Luis Baca"/>
        <s v="Jacobo Centeno Velazquez"/>
        <s v="Octavio Madrid Acevedo"/>
        <s v="Eric Bonilla"/>
        <s v="Adan Ana Ornelas Samaniego"/>
        <s v="Serafín Antonio Fonseca"/>
        <s v="Mitzy Noelia Ramos Menchaca"/>
        <s v="Clara del Valle"/>
        <s v="Olga Georgina Iglesias"/>
        <s v="Jeronimo Palomino Lozano"/>
        <s v="Leonel Salcido"/>
        <s v="Margarita Olivas"/>
        <s v="Nicolas Martín Baez"/>
        <s v="Ing. José Benavídez"/>
        <s v="Alma Paola Godoy"/>
        <s v="Íliver Téllez"/>
        <s v="María Cristina Amelia Rosario Trujillo"/>
        <s v="Indira Orozco Cuellar"/>
        <s v="Carmen Curiel Samaniego"/>
        <s v="Augusto Adan Niño"/>
        <s v="Abigail Mayorga"/>
        <s v="Gilberto Hernan Murillo"/>
        <s v="Camila María Teresa Reyna Lucero"/>
        <s v="Lic. Ana Luisa Montalvo"/>
        <s v="Juan Carlos Teresa Giron Sosa"/>
        <s v="Roberto Mateo Hurtado Leon"/>
        <s v="Isabela Mario Vigil Colunga"/>
        <s v="Karina Núñez"/>
        <s v="Wilfrido Daniela Alonso Gaytan"/>
        <s v="Mtro. Emilia Rolon"/>
        <s v="María Maximiliano Ochoa"/>
        <s v="Uriel Montes Contreras"/>
        <s v="Gerardo Sauceda"/>
        <s v="Ernesto Quezada"/>
        <s v="Abraham Israel Cortés Gaitan"/>
        <s v="Humberto Yeni Ceballos"/>
        <s v="Eugenio Almonte"/>
        <s v="Sr(a). María Navarrete"/>
        <s v="Raquel Crespo Carrion"/>
        <s v="Jonas Peña"/>
        <s v="Emilio Almaraz"/>
        <s v="Rafaél Gerardo Serrato"/>
        <s v="Claudia Suarez Galvan"/>
        <s v="Pascual Treviño"/>
        <s v="Yeni Diego Mateo Irizarry"/>
        <s v="Dr. Eugenia Jaquez"/>
        <s v="Jorge Bernardo Ávalos"/>
        <s v="Gabriela Aida Chapa"/>
        <s v="Aurora Amador Mendoza Prieto"/>
        <s v="Ing. Mitzy de la Rosa"/>
        <s v="German Crespo Leyva"/>
        <s v="Salma Andrés Montañez"/>
        <s v="Cynthia Oswaldo Olvera"/>
        <s v="Amador Íscar Orellana"/>
        <s v="Isabela Cortez"/>
        <s v="Sr(a). Magdalena Bustamante"/>
        <s v="Roberto Aleman Duarte"/>
        <s v="Mauricio Horacio Marín"/>
        <s v="Porfirio Lorenzo Cordero"/>
        <s v="Raquel Domínguez Vanegas"/>
        <s v="Paulina Peres Carmona"/>
        <s v="Agustín Montemayor Escobedo"/>
        <s v="Patricio Citlali Rico Jurado"/>
        <s v="Blanca Juan Carlos Sisneros"/>
        <s v="Sr(a). Monica Montañez"/>
        <s v="Ing. Nayeli del Valle"/>
        <s v="Carlota Helena Cepeda"/>
        <s v="Lic. Hugo Polanco"/>
        <s v="Lic. Ricardo Coronado"/>
        <s v="Israel Amaya"/>
        <s v="Paola Zarate"/>
        <s v="Hugo Orellana Aguilera"/>
        <s v="Claudio Anguiano Suarez"/>
        <s v="Caridad Frida Villarreal"/>
        <s v="Mariano Cruz"/>
        <s v="Nelly Vaca Santana"/>
        <s v="Luisa Eugenio Vasquez Aleman"/>
        <s v="Leonel Noelia Solís"/>
        <s v="Pascual Gracia Robles"/>
        <s v="Lorenzo Rafaél Morales Valles"/>
        <s v="Adan Prado"/>
        <s v="Caridad Ojeda"/>
        <s v="Elsa Alonso Almanza"/>
        <s v="Julia Baeza"/>
        <s v="Linda Tomas Cuellar"/>
        <s v="Lic. Vanesa Enríquez"/>
        <s v="Mario Gilberto Torrez"/>
        <s v="Clara Echeverría"/>
        <s v="Lorena Jacinto Limon"/>
        <s v="Asuncion Maximiliano Baca Ramírez"/>
        <s v="Evelio Pilar Urbina"/>
        <s v="Aida Marrero"/>
        <s v="Benjamín Alejandra Zapata Zamudio"/>
        <s v="Cristina Valentín Castillo"/>
        <s v="Yuridia Riojas Cotto"/>
        <s v="Hilda Corrales Ramon"/>
        <s v="Celia Cardona Griego"/>
        <s v="Elvira Marisol Reyes Alfaro"/>
        <s v="Miguel Romo"/>
        <s v="Cristian Mercedes Rubio Medrano"/>
        <s v="Dr. Fabiola Galindo"/>
        <s v="Susana Juarez"/>
        <s v="Jos Mariana Cano"/>
        <s v="Ana Luisa Araceli de la Crúz"/>
        <s v="Dr. Evelio Rosario"/>
        <s v="Sr(a). Genaro Paz"/>
        <s v="Francisco Javier Blanca Serrato"/>
        <s v="María Teresa Citlali Negrete"/>
        <s v="Eric Joaquín Navarrete"/>
        <s v="Adalberto Nayeli Villarreal Davila"/>
        <s v="Mtro. Josefina Miramontes"/>
        <s v="Gonzalo Rascon"/>
        <s v="Cristina Barbara de la Rosa"/>
        <s v="Ing. David Valencia"/>
        <s v="Amanda José Eduardo Rolon"/>
        <s v="Antonia Borrego"/>
        <s v="Pamela Magdalena Pantoja Sisneros"/>
        <s v="Jorge Luis María Calderon Valdivia"/>
        <s v="Leonel Cruz Enríquez"/>
        <s v="Dr. Alonso Lucero"/>
        <s v="Liliana Altamirano Solano"/>
        <s v="Alejandro Rodrigo Guillen Paredes"/>
        <s v="Inés Meza Campos"/>
        <s v="Mauricio José Luis Arroyo Mascareñas"/>
        <s v="Ofelia Suarez"/>
        <s v="Armando Ángela Juarez"/>
        <s v="Citlali Pantoja"/>
        <s v="Ing. Anabel Carreon"/>
        <s v="Íscar Cadena Valle"/>
        <s v="Samuel Esteban Caraballo Balderas"/>
        <s v="Ana María Pichardo Sepúlveda"/>
        <s v="Mayte Acevedo Viera"/>
        <s v="Trinidad Badillo"/>
        <s v="Yuridia Rubén Armendariz"/>
        <s v="Carolina Clara Cotto"/>
        <s v="Héctor José Luis Vaca"/>
        <s v="Ana Alvarado Zambrano"/>
        <s v="Jesús Burgos Ballesteros"/>
        <s v="Yolanda Joaquín Barela Méndez"/>
        <s v="Clemente Omar Olivo"/>
        <s v="Marisela Zeferino Adame Ureña"/>
        <s v="Liliana Verduzco"/>
        <s v="Dolores Pablo Menéndez"/>
        <s v="Héctor Luevano"/>
        <s v="Esteban José Emilio Polanco Valentín"/>
        <s v="Federico Alfaro"/>
        <s v="Indira Brito"/>
        <s v="Mtro. Abelardo Ríos"/>
        <s v="Íscar Ulloa Valdivia"/>
        <s v="Miguel Ángel Alberto Tamayo"/>
        <s v="Esmeralda Eugenia Ceja"/>
        <s v="Estela Alejandro Caballero"/>
        <s v="David Prado"/>
        <s v="Patricia Candelaria Ramon"/>
        <s v="Marcos Alba Becerra"/>
        <s v="Marisela Preciado"/>
        <s v="Lic. Lorenzo Zaragoza"/>
        <s v="Lic. Carmen Brito"/>
        <s v="Diego Nancy Madrid Cornejo"/>
        <s v="Conchita Calvillo Alba"/>
        <s v="Lic. Aurora Zamudio"/>
        <s v="Leonor Cristina Concepcion"/>
        <s v="Pamela Homero Arreola Godoy"/>
        <s v="Ruby Amador Quintero"/>
        <s v="Mauro Meléndez"/>
        <s v="Ing. Georgina Murillo"/>
        <s v="Alejandra Roldan"/>
        <s v="Pilar Luisa Bonilla Garrido"/>
        <s v="Bernabé Zaragoza"/>
        <s v="Armando Monica Reyna"/>
        <s v="Dr. José Manuél Candelaria"/>
        <s v="Estela Ivan Figueroa"/>
        <s v="María Luisa Cardenas Montemayor"/>
        <s v="Dr. José Eduardo Moreno"/>
        <s v="Mtro. Órsula Palacios"/>
        <s v="Nadia Canales Núñez"/>
        <s v="Dr. Estefanía Casas"/>
        <s v="Dr. Íliver de Leon"/>
        <s v="Dr. María Eugenia Valdivia"/>
        <s v="Eugenio Fernando Delgado"/>
        <s v="Modesto Rufino Mares Negron"/>
        <s v="Dr. Ariadna de Jesús"/>
        <s v="Jorge Luis Blanca Regalado Mora"/>
        <s v="Beatriz Virginia Duarte Flores"/>
        <s v="Lic. Jorge Alva"/>
        <s v="Zeferino Leon"/>
        <s v="María Teresa Ocasio Vera"/>
        <s v="Jesús Carreon"/>
        <s v="Ramiro Adriana Botello"/>
        <s v="Débora Alberto de Jesús Rodríguez"/>
        <s v="Dr. Aida Perales"/>
        <s v="Dalia Barrera"/>
        <s v="Sr(a). Diego Adame"/>
        <s v="Guillermina Otero"/>
        <s v="Ing. Wilfrido Carranza"/>
        <s v="Hilda Armando Padilla Castellanos"/>
        <s v="Sr(a). Socorro Jurado"/>
        <s v="Pedro Eric Parra Palacios"/>
        <s v="Gilberto Fajardo Esquivel"/>
        <s v="Oswaldo Magaña"/>
        <s v="Roberto María Cristina Madera Alejandro"/>
        <s v="María José Jacobo Perales Ortiz"/>
        <s v="Lic. Mateo Salazar"/>
        <s v="Olivia Cristobal Oquendo Nieves"/>
      </sharedItems>
    </cacheField>
    <cacheField name="Email" numFmtId="0">
      <sharedItems>
        <s v="qcovarrubias@hotmail.com"/>
        <s v="gaytansergio@navarro.info"/>
        <s v="maria-teresamanzanares@jaquez.com"/>
        <s v="pizarrojaqueline@acuna-moreno.com"/>
        <s v="yterrazas@hotmail.com"/>
        <s v="gvazquez@burgos.com"/>
        <s v="concepcion88@hotmail.com"/>
        <s v="rocioescalante@hotmail.com"/>
        <s v="dromero@industrias.info"/>
        <s v="emiliovillegas@diaz-ulibarri.net"/>
        <s v="maria-teresaibarra@yahoo.com"/>
        <s v="baezjonas@proyectos.org"/>
        <s v="guillerminacorral@yahoo.com"/>
        <s v="luisamata@barajas-de.org"/>
        <s v="benitezcarlota@yahoo.com"/>
        <s v="brivera@club.com"/>
        <s v="victor38@industrias.com"/>
        <s v="maria-elena87@proyectos.biz"/>
        <s v="nadame@hotmail.com"/>
        <s v="fmontalvo@gmail.com"/>
        <s v="marcos44@yahoo.com"/>
        <s v="julio50@hotmail.com"/>
        <s v="umadrigal@despacho.biz"/>
        <s v="cresporaquel@yahoo.com"/>
        <s v="kveliz@gmail.com"/>
        <s v="ilse56@tapia-zavala.com"/>
        <s v="marco-antoniorosado@grupo.org"/>
        <s v="antoniohernandez@gmail.com"/>
        <s v="maytecasares@yahoo.com"/>
        <s v="reyesespartaco@hotmail.com"/>
        <s v="tozuna@yahoo.com"/>
        <s v="francisco-javierzamudio@gmail.com"/>
        <s v="emontalvo@angulo.info"/>
        <s v="qcolon@laureano-solorzano.net"/>
        <s v="del-riojuan@velasco.com"/>
        <s v="ffuentes@ochoa-molina.com"/>
        <s v="bruno78@vega.org"/>
        <s v="estherpedroza@rojas-moya.info"/>
        <s v="porfirio68@corporacin.biz"/>
        <s v="sessa76@casarez.com"/>
        <s v="nicolas17@gmail.com"/>
        <s v="mauro20@urrutia.net"/>
        <s v="irobles@gmail.com"/>
        <s v="juana28@hotmail.com"/>
        <s v="arellanoalfredo@gmail.com"/>
        <s v="gabrieljaime@club.com"/>
        <s v="rosasgabriela@gmail.com"/>
        <s v="vicentezelaya@valdez.com"/>
        <s v="deborallamas@hotmail.com"/>
        <s v="fernando51@yahoo.com"/>
        <s v="miriam03@laboratorios.com"/>
        <s v="pulidoindira@industrias.org"/>
        <s v="virginiameraz@yahoo.com"/>
        <s v="leonardorosas@laboratorios.com"/>
        <s v="gdel-rio@proyectos.biz"/>
        <s v="bernabe37@despacho.com"/>
        <s v="granadosaraceli@proyectos.net"/>
        <s v="ursulamenchaca@hotmail.com"/>
        <s v="ana-luisa49@otero.org"/>
        <s v="jeronimovigil@hotmail.com"/>
        <s v="orascon@corporacin.com"/>
        <s v="dponce@verdugo.info"/>
        <s v="adriana27@hotmail.com"/>
        <s v="oswaldo20@proyectos.net"/>
        <s v="paolavergara@laboratorios.net"/>
        <s v="leonortoledo@solorzano.com"/>
        <s v="linda23@gmail.com"/>
        <s v="brunoflorez@hotmail.com"/>
        <s v="felipe81@espino.info"/>
        <s v="casarezminerva@yahoo.com"/>
        <s v="angel71@rincon-perea.com"/>
        <s v="cristobal02@frias-mojica.biz"/>
        <s v="magdalena44@industrias.com"/>
        <s v="onavarro@proyectos.com"/>
        <s v="uferrer@gmail.com"/>
        <s v="valmonte@gmail.com"/>
        <s v="alfredocastro@oquendo.com"/>
        <s v="abel08@laboratorios.com"/>
        <s v="raquelyanez@hotmail.com"/>
        <s v="javierraya@hotmail.com"/>
        <s v="yzedillo@despacho.org"/>
        <s v="villarebeca@gmail.com"/>
        <s v="de-la-torrelorenzo@yahoo.com"/>
        <s v="roqueelsa@gmail.com"/>
        <s v="vcontreras@yahoo.com"/>
        <s v="soniapaez@laboratorios.com"/>
        <s v="delgadogabino@hotmail.com"/>
        <s v="garaymarco-antonio@gmail.com"/>
        <s v="trevinoisaac@hotmail.com"/>
        <s v="salma61@gmail.com"/>
        <s v="pamela41@grupo.com"/>
        <s v="vallejogustavo@despacho.net"/>
        <s v="carlota45@yahoo.com"/>
        <s v="olverapamela@yahoo.com"/>
        <s v="rociopalomino@valenzuela.com"/>
        <s v="vmesa@valdes-suarez.com"/>
        <s v="ncastaneda@rico.com"/>
        <s v="correaestefania@yahoo.com"/>
        <s v="prietowendolin@abrego-mares.com"/>
        <s v="martincandelaria@hotmail.com"/>
        <s v="garenas@verduzco.org"/>
        <s v="timoteo70@hotmail.com"/>
        <s v="jeronimo36@proyectos.info"/>
        <s v="rosaliabatista@hurtado.com"/>
        <s v="cejaantonio@gmail.com"/>
        <s v="yenivaldes@quesada.com"/>
        <s v="uescalante@gmail.com"/>
        <s v="hugodel-rio@reyna.com"/>
        <s v="borregomitzy@hotmail.com"/>
        <s v="maximiliano11@garrido.com"/>
        <s v="citlaliramos@roque-velasco.biz"/>
        <s v="sramirez@yahoo.com"/>
        <s v="anel99@hotmail.com"/>
        <s v="francisca45@espinal.com"/>
        <s v="mauriciogarcia@gmail.com"/>
        <s v="enriqueaguirre@tamayo-roldan.com"/>
        <s v="fheredia@amador.biz"/>
        <s v="hborrego@hotmail.com"/>
        <s v="ivenegas@club.com"/>
        <s v="colladomercedes@yahoo.com"/>
        <s v="felicianoirene@gmail.com"/>
        <s v="jossolorzano@berrios.info"/>
        <s v="isabelmunguia@de.com"/>
        <s v="luisaquintanilla@regalado-tejeda.com"/>
        <s v="barrazaclaudia@hotmail.com"/>
        <s v="rodriguezluis@corporacin.com"/>
        <s v="franciscaarredondo@club.com"/>
        <s v="tcamarillo@gmail.com"/>
        <s v="isuarez@rodriguez.info"/>
        <s v="zmelgar@corporacin.com"/>
        <s v="zbarajas@industrias.com"/>
        <s v="cintronbernabe@grupo.biz"/>
        <s v="zedilloamador@yahoo.com"/>
        <s v="rosaliapizarro@narvaez.com"/>
        <s v="maganafabiola@hinojosa-meraz.com"/>
        <s v="ortaasuncion@laboratorios.org"/>
        <s v="octavio81@granados.biz"/>
        <s v="lucasirizarry@corporacin.com"/>
        <s v="cfajardo@ferrer-candelaria.net"/>
        <s v="benavidezgabino@hotmail.com"/>
        <s v="yeni97@hotmail.com"/>
        <s v="xsaenz@hotmail.com"/>
        <s v="irene40@bustos.info"/>
        <s v="marisoldominguez@yahoo.com"/>
        <s v="margarita66@hotmail.com"/>
        <s v="agamboa@corporacin.com"/>
        <s v="eugenia47@de.com"/>
        <s v="jose-manuelcazares@franco.org"/>
        <s v="fduran@arredondo.com"/>
        <s v="isaac34@aviles.biz"/>
        <s v="liliagonzalez@sanabria.info"/>
        <s v="renato62@gmail.com"/>
        <s v="juan-carlosporras@hotmail.com"/>
        <s v="indira48@gmail.com"/>
        <s v="mercedes40@lozano-borrego.org"/>
        <s v="merinovicente@hotmail.com"/>
        <s v="concepcion07@hotmail.com"/>
        <s v="floresleonor@salcido-barrientos.info"/>
        <s v="indira44@maya.biz"/>
        <s v="jose-emiliogamboa@laboratorios.biz"/>
        <s v="tiradoberta@yahoo.com"/>
        <s v="barbara76@hotmail.com"/>
        <s v="marisol14@maestas.com"/>
        <s v="mendezmonica@chacon.com"/>
        <s v="eugenio20@yahoo.com"/>
        <s v="franciscabonilla@yahoo.com"/>
        <s v="riveraleonardo@carrasco.com"/>
        <s v="dolores01@gmail.com"/>
        <s v="aurelio09@fuentes.com"/>
        <s v="cabanmauricio@partida-barrios.net"/>
        <s v="german49@yahoo.com"/>
        <s v="florenciaescamilla@industrias.com"/>
        <s v="ccintron@gmail.com"/>
        <s v="pradooctavio@yahoo.com"/>
        <s v="eveliz@verdugo-covarrubias.com"/>
        <s v="camilapuente@hotmail.com"/>
        <s v="martha43@gmail.com"/>
        <s v="rolando62@hotmail.com"/>
        <s v="teresa90@yahoo.com"/>
        <s v="galvancamilo@santana-farias.com"/>
        <s v="navajose-eduardo@peralta.org"/>
        <s v="karinajaimes@grupo.net"/>
        <s v="cornelio15@grupo.com"/>
        <s v="eloy50@despacho.com"/>
        <s v="xespinosa@maestas-zambrano.org"/>
        <s v="guzmanalfonso@molina.com"/>
        <s v="casanovahugo@yahoo.com"/>
        <s v="veronicagaona@yahoo.com"/>
        <s v="galindoabelardo@hotmail.com"/>
        <s v="yolandamontalvo@gmail.com"/>
        <s v="gzelaya@gmail.com"/>
        <s v="cesar12@hotmail.com"/>
        <s v="camilareyes@yahoo.com"/>
        <s v="gaonagabriel@proyectos.org"/>
        <s v="rduarte@hotmail.com"/>
        <s v="natividad96@toro.biz"/>
        <s v="anabelgalarza@gmail.com"/>
        <s v="mejiaricardo@yahoo.com"/>
        <s v="umata@despacho.com"/>
        <s v="gilalta-gracia@miramontes.com"/>
        <s v="acovarrubias@yahoo.com"/>
        <s v="maria-eugenia48@industrias.com"/>
        <s v="benjaminguerra@yahoo.com"/>
        <s v="ninovictor@gmail.com"/>
        <s v="eric39@gmail.com"/>
        <s v="whuerta@cornejo.com"/>
        <s v="merazoliver@yahoo.com"/>
        <s v="bacaelvia@gmail.com"/>
        <s v="francisco-javier56@gmail.com"/>
        <s v="daliavillagomez@gmail.com"/>
        <s v="daniela26@hotmail.com"/>
        <s v="eesquibel@campos.info"/>
        <s v="claudia30@hotmail.com"/>
        <s v="vparra@gmail.com"/>
        <s v="wmontoya@yahoo.com"/>
        <s v="yeni63@gmail.com"/>
        <s v="xramirez@laboratorios.com"/>
        <s v="arico@almaraz-ontiveros.com"/>
        <s v="dvillegas@despacho.com"/>
        <s v="santacruzanel@hotmail.com"/>
        <s v="blancaromero@armenta-murillo.com"/>
        <s v="eugenio94@yahoo.com"/>
        <s v="isabela60@hotmail.com"/>
        <s v="bfajardo@suarez.info"/>
        <s v="maria-eugeniairizarry@gmail.com"/>
        <s v="salma27@nieto-herrera.com"/>
        <s v="ignaciochacon@gmail.com"/>
        <s v="cervanteshermelinda@godinez.net"/>
        <s v="oscar45@tovar.info"/>
        <s v="pazrocio@gmail.com"/>
        <s v="rodolfolucio@gmail.com"/>
        <s v="zguardado@grupo.biz"/>
        <s v="ulucero@gmail.com"/>
        <s v="rubencanales@hotmail.com"/>
        <s v="elvirasepulveda@corporacin.com"/>
        <s v="sernaemilia@yahoo.com"/>
        <s v="ernesto07@gmail.com"/>
        <s v="silvano66@proyectos.com"/>
        <s v="saavedrafelipe@yahoo.com"/>
        <s v="gfranco@grupo.com"/>
        <s v="quirozjose-maria@valdivia.biz"/>
        <s v="rivascristian@grupo.com"/>
        <s v="catalina33@yahoo.com"/>
        <s v="qsolorzano@despacho.com"/>
        <s v="xalva@cazares-santillan.biz"/>
        <s v="carmen91@gonzales.org"/>
        <s v="reynadulce-maria@hotmail.com"/>
        <s v="jtovar@trujillo-orellana.com"/>
        <s v="mireleshector@vigil.com"/>
        <s v="lsalas@grupo.org"/>
        <s v="casaresramon@hotmail.com"/>
        <s v="israel13@aviles.biz"/>
        <s v="carolinaoquendo@industrias.net"/>
        <s v="tvalle@guzman.org"/>
        <s v="jose-eduardo21@yahoo.com"/>
        <s v="gracielasosa@gmail.com"/>
        <s v="wvega@yahoo.com"/>
        <s v="zoe99@ornelas.com"/>
        <s v="darenas@corporacin.org"/>
        <s v="griegomonica@yahoo.com"/>
        <s v="ynavarro@gmail.com"/>
        <s v="francisco-javiersalcedo@hotmail.com"/>
        <s v="verduzcohilda@merino.biz"/>
        <s v="leonorbermudez@nieves.info"/>
        <s v="patricia75@corporacin.com"/>
        <s v="hocampo@corporacin.net"/>
        <s v="cabreraleonel@yahoo.com"/>
        <s v="julio-cesarrazo@hotmail.com"/>
        <s v="yolanda26@montemayor.biz"/>
        <s v="jose-emiliovillanueva@hotmail.com"/>
        <s v="kmurillo@proyectos.net"/>
        <s v="andresquinonez@yahoo.com"/>
        <s v="rebeca22@yahoo.com"/>
        <s v="saucedaconcepcion@hotmail.com"/>
        <s v="tmontoya@gmail.com"/>
        <s v="anel88@lugo.com"/>
        <s v="pelayojaqueline@hotmail.com"/>
        <s v="olivertejada@hotmail.com"/>
        <s v="jaquezesteban@gmail.com"/>
        <s v="itapia@despacho.com"/>
        <s v="auroralugo@acuna-mercado.com"/>
        <s v="benito43@corporacin.com"/>
        <s v="eduardo20@club.org"/>
        <s v="de-la-fuentemanuel@yahoo.com"/>
        <s v="wnevarez@perea.com"/>
        <s v="jaime62@industrias.com"/>
        <s v="ramon28@gmail.com"/>
        <s v="jose-luis02@hotmail.com"/>
        <s v="lbarajas@alva-montalvo.com"/>
        <s v="vnavarro@gmail.com"/>
        <s v="forosco@mesa.biz"/>
        <s v="pcruz@zelaya.com"/>
        <s v="gamezjonas@estevez.org"/>
        <s v="avalosjosefina@gmail.com"/>
        <s v="ballesterosevelio@yahoo.com"/>
        <s v="urielojeda@fierro-cordero.com"/>
        <s v="xnino@yahoo.com"/>
        <s v="amaliaespino@mota-bernal.info"/>
        <s v="luis-manuelperes@club.info"/>
        <s v="anaranjo@despacho.com"/>
        <s v="ilebron@yahoo.com"/>
        <s v="lpacheco@yahoo.com"/>
        <s v="gcotto@alcala-espinoza.com"/>
        <s v="teresaaguirre@despacho.com"/>
        <s v="nazarioandrea@hotmail.com"/>
        <s v="cornelio81@hotmail.com"/>
        <s v="ehernandez@nieto.com"/>
        <s v="celia37@guardado.com"/>
        <s v="estebanespinal@hotmail.com"/>
        <s v="cristinaarguello@del.info"/>
        <s v="gregoriocervantes@hotmail.com"/>
        <s v="mariana08@jurado.org"/>
        <s v="carolina73@gmail.com"/>
        <s v="santillancamila@hotmail.com"/>
        <s v="mariasevilla@caldera-valdivia.com"/>
        <s v="pserrano@gmail.com"/>
        <s v="renedominguez@osorio.com"/>
        <s v="nayelipedroza@samaniego.com"/>
        <s v="henriquezjose-maria@gurule.net"/>
        <s v="jcintron@hotmail.com"/>
        <s v="eloyarroyo@yahoo.com"/>
        <s v="ssosa@hotmail.com"/>
        <s v="luisromo@grupo.org"/>
        <s v="josefinacarrero@zavala.com"/>
        <s v="lorena10@gmail.com"/>
        <s v="zamudiooswaldo@rosales.com"/>
        <s v="gdel-valle@covarrubias-marquez.com"/>
        <s v="gabinopolanco@gmail.com"/>
        <s v="aholguin@industrias.com"/>
        <s v="malaveleonor@hotmail.com"/>
        <s v="guadalupe65@cervantez.info"/>
        <s v="yfarias@industrias.com"/>
        <s v="wadame@yahoo.com"/>
        <s v="socorrodel-valle@gmail.com"/>
        <s v="helenanaranjo@roybal.org"/>
        <s v="cortestrinidad@hotmail.com"/>
        <s v="lucas66@hotmail.com"/>
        <s v="qrosado@hotmail.com"/>
        <s v="veronicalongoria@hotmail.com"/>
        <s v="gcalvillo@gmail.com"/>
        <s v="gregoriopuente@laboratorios.info"/>
        <s v="jorgecervantes@yahoo.com"/>
        <s v="prietojorge@hotmail.com"/>
        <s v="valenzuelarodolfo@yahoo.com"/>
        <s v="olveraalvaro@hotmail.com"/>
        <s v="ncardenas@hotmail.com"/>
        <s v="ovillalpando@hotmail.com"/>
        <s v="hernadezalvaro@gmail.com"/>
        <s v="florencia21@grupo.com"/>
        <s v="cristianbrito@gmail.com"/>
        <s v="vcarreon@industrias.net"/>
        <s v="emateo@colunga.com"/>
        <s v="jaquezpatricia@hotmail.com"/>
        <s v="asuncionespino@gmail.com"/>
        <s v="cruzhoracio@yahoo.com"/>
        <s v="rosarioalmaraz@gmail.com"/>
        <s v="cabreraabelardo@gmail.com"/>
        <s v="barriosconchita@industrias.com"/>
        <s v="nbarraza@yahoo.com"/>
        <s v="ujasso@abreu-crespo.info"/>
        <s v="elvira02@hotmail.com"/>
        <s v="rsosa@laboratorios.com"/>
        <s v="luis-miguelsantacruz@yahoo.com"/>
        <s v="leonelponce@hotmail.com"/>
        <s v="emilianovillanueva@grupo.org"/>
        <s v="olivia24@yahoo.com"/>
        <s v="albertourena@yahoo.com"/>
        <s v="ilongoria@gmail.com"/>
        <s v="raquelzamudio@corporacin.org"/>
        <s v="psolorzano@proyectos.org"/>
        <s v="indiracarrasco@gmail.com"/>
        <s v="bbenavides@grupo.biz"/>
        <s v="federico70@velasco.biz"/>
        <s v="bpacheco@hotmail.com"/>
        <s v="ana-marialomeli@santana.net"/>
        <s v="geronimoalmonte@hotmail.com"/>
        <s v="abrillemus@hotmail.com"/>
        <s v="isaac33@gmail.com"/>
        <s v="hernan45@yahoo.com"/>
        <s v="ireneberrios@torres.biz"/>
        <s v="alejandra48@yahoo.com"/>
        <s v="rodrigo57@centeno-meza.org"/>
        <s v="israel06@industrias.net"/>
        <s v="juanaceja@corporacin.org"/>
        <s v="mayteramon@gmail.com"/>
        <s v="oquendoyeni@gmail.com"/>
        <s v="mballesteros@escamilla-aguayo.info"/>
        <s v="nzapata@yahoo.com"/>
        <s v="sevillaemiliano@yahoo.com"/>
        <s v="overa@hotmail.com"/>
        <s v="jassomarco-antonio@gmail.com"/>
        <s v="darioquintero@grupo.biz"/>
        <s v="micaela56@corporacin.com"/>
        <s v="jaquelineontiveros@grupo.com"/>
        <s v="oliviacarmona@magana.net"/>
        <s v="rmireles@hotmail.com"/>
        <s v="riverocynthia@laboratorios.org"/>
        <s v="pvaca@padilla-calderon.com"/>
        <s v="pilarpena@gmail.com"/>
        <s v="rene11@carrillo.com"/>
        <s v="brunoferrer@hotmail.com"/>
        <s v="jorge11@yahoo.com"/>
        <s v="maytezamudio@hotmail.com"/>
        <s v="jacinto56@laboratorios.biz"/>
        <s v="catalina70@gmail.com"/>
        <s v="eugeniobravo@gmail.com"/>
        <s v="bruno96@hotmail.com"/>
        <s v="bfajardo@gmail.com"/>
        <s v="uriasbernabe@perez-saldivar.com"/>
        <s v="acevedobruno@gmail.com"/>
        <s v="bustossandra@gmail.com"/>
        <s v="monteroraul@yahoo.com"/>
        <s v="sramos@hotmail.com"/>
        <s v="qvilla@gmail.com"/>
        <s v="felixramon@gmail.com"/>
        <s v="ypichardo@hotmail.com"/>
        <s v="maria-cristinamatos@hotmail.com"/>
        <s v="jorge49@gmail.com"/>
        <s v="soledad84@yahoo.com"/>
        <s v="de-la-fuentereina@gmail.com"/>
        <s v="qde-la-garza@alejandro.info"/>
        <s v="toledojacobo@olivo.biz"/>
        <s v="jose-luisanaya@olivo-villa.com"/>
        <s v="emiliaesparza@santacruz.org"/>
        <s v="almonteadriana@chapa-grijalva.biz"/>
        <s v="abelurrutia@grupo.com"/>
        <s v="amayajavier@gmail.com"/>
        <s v="jacoboalcantar@bahena.info"/>
        <s v="mateocastro@club.com"/>
        <s v="agustin99@hotmail.com"/>
        <s v="linda75@hotmail.com"/>
        <s v="bernardo49@gmail.com"/>
        <s v="marisoltijerina@gmail.com"/>
        <s v="eloisaaragon@candelaria.org"/>
        <s v="laboyleonor@yahoo.com"/>
        <s v="dblanco@club.com"/>
        <s v="indira82@miramontes-menendez.biz"/>
        <s v="emiliano86@gmail.com"/>
        <s v="escobedoilse@proyectos.biz"/>
        <s v="vmadrigal@bravo.com"/>
        <s v="florencia21@hotmail.com"/>
        <s v="seguralinda@gmail.com"/>
        <s v="isabel20@macias.org"/>
        <s v="lomelivictoria@alvarez-olivo.org"/>
        <s v="ursulaespinoza@de.info"/>
        <s v="clozada@vela.biz"/>
        <s v="sara48@gmail.com"/>
        <s v="martin48@farias-huerta.com"/>
        <s v="bernaberenteria@hotmail.com"/>
        <s v="ojaimes@yahoo.com"/>
        <s v="sierravictoria@yahoo.com"/>
        <s v="verdugooswaldo@industrias.org"/>
        <s v="bravodiego@zayas.info"/>
        <s v="eduardo52@grupo.info"/>
        <s v="liliana23@despacho.com"/>
        <s v="villarealana-luisa@aviles.org"/>
        <s v="peresguadalupe@laboratorios.info"/>
        <s v="leticiajurado@yahoo.com"/>
        <s v="de-la-cruzisabel@grupo.com"/>
        <s v="karlavillegas@urias.com"/>
        <s v="vdavila@gmail.com"/>
        <s v="esparta94@gmail.com"/>
        <s v="ujasso@olivares.com"/>
        <s v="feliperolon@hotmail.com"/>
        <s v="jaimerenteria@despacho.com"/>
        <s v="noemirivera@hotmail.com"/>
        <s v="navarretenelly@yahoo.com"/>
        <s v="carvajalesmeralda@gmail.com"/>
        <s v="ocasiofrancisco-javier@yahoo.com"/>
        <s v="pde-jesus@yahoo.com"/>
        <s v="zoeguevara@hotmail.com"/>
        <s v="rvillanueva@gmail.com"/>
        <s v="marco-antonioverduzco@yahoo.com"/>
        <s v="etoledo@gmail.com"/>
        <s v="estefania56@marrero.com"/>
        <s v="reynaldogaribay@hotmail.com"/>
        <s v="igalvez@teran-pizarro.net"/>
        <s v="gonzalocarrero@proyectos.com"/>
        <s v="uarroyo@manzanares.biz"/>
        <s v="esparta21@yahoo.com"/>
        <s v="abril49@yahoo.com"/>
        <s v="cornejocornelio@despacho.org"/>
        <s v="salvador03@gmail.com"/>
        <s v="elvira67@grijalva.com"/>
        <s v="malaveluz@yahoo.com"/>
        <s v="del-vallenatividad@zuniga-carrasco.com"/>
        <s v="maria-teresa56@valle.com"/>
        <s v="indiraarroyo@gmail.com"/>
        <s v="vcervantez@matos-villagomez.biz"/>
        <s v="jose-manuel14@madera-arenas.com"/>
        <s v="oliviamaestas@club.biz"/>
        <s v="beatriz73@yahoo.com"/>
        <s v="julio55@yahoo.com"/>
        <s v="rosalia18@gmail.com"/>
        <s v="del-vallejorge@paz.biz"/>
        <s v="de-andavicente@robles.com"/>
        <s v="maderaoliver@yahoo.com"/>
        <s v="armando09@gmail.com"/>
        <s v="antoniabarela@despacho.net"/>
        <s v="ymayorga@gmail.com"/>
        <s v="wulloa@industrias.com"/>
        <s v="nunezmanuel@yahoo.com"/>
        <s v="ltapia@hotmail.com"/>
        <s v="ibarraza@hotmail.com"/>
        <s v="felipede-la-rosa@arredondo-hinojosa.net"/>
        <s v="reinasegovia@hotmail.com"/>
        <s v="noriegasara@uribe.com"/>
        <s v="halfaro@despacho.com"/>
        <s v="cardonapascual@industrias.info"/>
        <s v="juliavergara@barraza.info"/>
        <s v="razoraul@yahoo.com"/>
        <s v="jmacias@salazar.com"/>
        <s v="hector75@despacho.org"/>
        <s v="quirozcristina@hotmail.com"/>
        <s v="adelafierro@resendez.com"/>
        <s v="socorrocolunga@rosales-caraballo.com"/>
        <s v="melgarbenjamin@laboratorios.com"/>
        <s v="acabrera@yahoo.com"/>
        <s v="grobledo@gmail.com"/>
        <s v="qguajardo@gmail.com"/>
        <s v="epaez@yahoo.com"/>
        <s v="humberto17@tapia.com"/>
        <s v="amadorgarza@yahoo.com"/>
        <s v="salvadorsuarez@gmail.com"/>
        <s v="silviafrias@hotmail.com"/>
        <s v="lilianaamaya@rangel.com"/>
        <s v="montanoreina@navarrete-botello.net"/>
        <s v="ivonnearmendariz@club.com"/>
        <s v="asuncionquintero@hotmail.com"/>
        <s v="dpolanco@industrias.com"/>
        <s v="flavio50@proyectos.com"/>
        <s v="lhidalgo@yahoo.com"/>
        <s v="yalba@corporacin.com"/>
        <s v="omarin@grupo.info"/>
        <s v="canalesgraciela@merino.net"/>
        <s v="calderontania@hotmail.com"/>
        <s v="ycabrera@yahoo.com"/>
        <s v="marisoldiaz@gmail.com"/>
        <s v="susanarodrigez@granado-mora.com"/>
        <s v="juan-carlos48@del.info"/>
        <s v="esteban25@hotmail.com"/>
        <s v="elena24@despacho.info"/>
        <s v="flaviorivera@gmail.com"/>
        <s v="oscararmas@grupo.com"/>
        <s v="fidelvazquez@estrada.info"/>
        <s v="enriquevarela@yahoo.com"/>
        <s v="fridalopez@mena.com"/>
        <s v="hugocedillo@gmail.com"/>
        <s v="mercadohilda@gmail.com"/>
        <s v="egalindo@gmail.com"/>
        <s v="ninosilvano@montano-rodriquez.com"/>
        <s v="jhernadez@yahoo.com"/>
        <s v="sarabiakarla@gmail.com"/>
        <s v="de-jesusnatividad@santana.com"/>
        <s v="karinacarrera@mascarenas.info"/>
        <s v="montezmicaela@laboratorios.org"/>
        <s v="carlotacastro@yahoo.com"/>
        <s v="jrobledo@proyectos.org"/>
        <s v="aguilarespartaco@luevano.com"/>
        <s v="carranzamaria-jose@yahoo.com"/>
        <s v="trujillosantiago@club.com"/>
        <s v="alfredosamaniego@grupo.info"/>
        <s v="cejamarisol@proyectos.com"/>
        <s v="amadorzoe@proyectos.info"/>
        <s v="ysaldivar@perales.com"/>
        <s v="fjasso@hotmail.com"/>
        <s v="esthersantacruz@gmail.com"/>
        <s v="warellano@hotmail.com"/>
        <s v="karla73@yahoo.com"/>
        <s v="elviraalva@sandoval.net"/>
        <s v="lgracia@corporacin.com"/>
        <s v="bde-la-torre@hotmail.com"/>
        <s v="pedrobaeza@caban.com"/>
        <s v="reynaldo69@gmail.com"/>
        <s v="sperales@hotmail.com"/>
        <s v="wde-la-rosa@club.com"/>
        <s v="laura43@yahoo.com"/>
        <s v="norma09@hotmail.com"/>
        <s v="alicia10@yahoo.com"/>
        <s v="zramos@bahena-maya.info"/>
        <s v="fserrano@vela.com"/>
        <s v="patinoadan@sanchez.biz"/>
        <s v="qcastellanos@partida-valles.com"/>
        <s v="maria-luisacaraballo@garcia-betancourt.com"/>
        <s v="rgomez@gmail.com"/>
        <s v="kescamilla@garza-olivares.com"/>
        <s v="valverdeadalberto@bernal-arellano.com"/>
        <s v="flaviorosado@yahoo.com"/>
        <s v="rzavala@yahoo.com"/>
        <s v="avera@yahoo.com"/>
        <s v="ballesterosvioleta@gallardo-jiminez.biz"/>
        <s v="nietohilda@yahoo.com"/>
        <s v="mariafernandez@gmail.com"/>
        <s v="esthervillalobos@covarrubias-montalvo.net"/>
        <s v="graya@quintero.com"/>
        <s v="silvano60@velasco.com"/>
        <s v="ycolon@gmail.com"/>
        <s v="margarita69@grupo.net"/>
        <s v="larajesus@industrias.com"/>
        <s v="pamela15@yahoo.com"/>
        <s v="anel13@yahoo.com"/>
        <s v="carbajaldulce-maria@club.info"/>
        <s v="rojohector@gmail.com"/>
        <s v="aalmaraz@yahoo.com"/>
        <s v="jose-eduardo38@hotmail.com"/>
        <s v="gabriela38@gmail.com"/>
        <s v="lopezdiana@gmail.com"/>
        <s v="pugasilvano@gmail.com"/>
        <s v="victor71@hotmail.com"/>
        <s v="granadobernabe@yahoo.com"/>
        <s v="mojicajudith@sauceda-mendez.com"/>
        <s v="pvalencia@marin.com"/>
        <s v="ariadna06@espino.org"/>
        <s v="znegron@hotmail.com"/>
        <s v="esquibellucas@gmail.com"/>
        <s v="bermudezleonor@reynoso.net"/>
        <s v="aldoescamilla@grupo.com"/>
        <s v="opaz@proyectos.net"/>
        <s v="oliverrenteria@rael-medrano.org"/>
        <s v="marisolamador@gmail.com"/>
        <s v="luztejeda@carrion.biz"/>
        <s v="cintronmanuel@gmail.com"/>
        <s v="homero86@segura.com"/>
        <s v="velasquezandres@laboratorios.com"/>
        <s v="lermaespartaco@yahoo.com"/>
        <s v="xcamacho@gmail.com"/>
        <s v="fviera@farias.info"/>
        <s v="teodorogarrido@barragan.biz"/>
        <s v="zoe02@yahoo.com"/>
        <s v="mesaursula@barragan-chapa.com"/>
        <s v="xlozano@godoy.com"/>
        <s v="felix81@madrid-samaniego.com"/>
        <s v="leticiaduarte@yahoo.com"/>
        <s v="guerrahernan@hotmail.com"/>
        <s v="kponce@yahoo.com"/>
        <s v="zeferinomadera@ramos.org"/>
        <s v="jluevano@grupo.org"/>
        <s v="rtejeda@pelayo.net"/>
        <s v="amayalucas@roque.biz"/>
        <s v="cgallegos@vaca-bahena.net"/>
        <s v="juana18@yahoo.com"/>
        <s v="bgranado@mata.biz"/>
        <s v="npedraza@hotmail.com"/>
        <s v="nvaladez@yahoo.com"/>
        <s v="aldomarrero@hotmail.com"/>
        <s v="luiscastellanos@club.com"/>
        <s v="carlotaacevedo@benavidez.com"/>
        <s v="barbara15@laboratorios.info"/>
        <s v="armando76@grupo.net"/>
        <s v="asuncion98@yahoo.com"/>
        <s v="marthabaez@gmail.com"/>
        <s v="oraya@laboratorios.com"/>
        <s v="jimenezirma@vega-mena.com"/>
        <s v="xreyna@yahoo.com"/>
        <s v="esmeraldadavila@laureano.net"/>
        <s v="montanezluis-miguel@industrias.com"/>
        <s v="nayeli04@villagomez-salcido.com"/>
        <s v="emiliano90@zayas-valentin.com"/>
        <s v="raulbarela@barrera-najera.org"/>
        <s v="veronicaalarcon@gmail.com"/>
        <s v="hilda61@grupo.info"/>
        <s v="jaramilloanabel@gmail.com"/>
        <s v="wmolina@yahoo.com"/>
        <s v="ochoaasuncion@gmail.com"/>
        <s v="bcotto@hotmail.com"/>
        <s v="vanesa92@gmail.com"/>
        <s v="arceliagracia@ramos-carrillo.com"/>
        <s v="marmas@gmail.com"/>
        <s v="villegasalejandra@gmail.com"/>
        <s v="caraballosocorro@grupo.com"/>
        <s v="mitzynevarez@barrientos-roque.com"/>
        <s v="mariano56@gmail.com"/>
        <s v="cristalfernandez@avalos-puga.org"/>
        <s v="mauricio18@preciado-acuna.com"/>
        <s v="marco-antonio11@proyectos.org"/>
        <s v="raulzayas@gmail.com"/>
        <s v="moraclara@hotmail.com"/>
        <s v="corneliohidalgo@hotmail.com"/>
        <s v="eugeniocano@yahoo.com"/>
        <s v="partidaisrael@ramon.info"/>
        <s v="umayorga@yahoo.com"/>
        <s v="coronadomodesto@hotmail.com"/>
        <s v="claudia24@industrias.com"/>
        <s v="tamezjacinto@bravo.info"/>
        <s v="ignaciocandelaria@merino.com"/>
        <s v="ppineda@hotmail.com"/>
        <s v="yeni67@hotmail.com"/>
        <s v="amandabarela@gmail.com"/>
        <s v="corralrolando@yahoo.com"/>
        <s v="cintronjose-emilio@rascon-najera.com"/>
        <s v="yamaya@yahoo.com"/>
        <s v="beatriz85@almanza-carrera.com"/>
        <s v="sergio69@laboratorios.com"/>
        <s v="ariastrinidad@despacho.com"/>
        <s v="dmedina@gmail.com"/>
        <s v="galfaro@yahoo.com"/>
        <s v="jaquelinecaban@muniz.info"/>
        <s v="alvaro06@yahoo.com"/>
        <s v="mitzy72@gmail.com"/>
        <s v="hruelas@gmail.com"/>
        <s v="olivia25@proyectos.com"/>
        <s v="fgamboa@yahoo.com"/>
        <s v="maria-del-carmen56@alonzo.com"/>
        <s v="emiliano63@gmail.com"/>
        <s v="roblesmanuel@gmail.com"/>
        <s v="zarguello@yahoo.com"/>
        <s v="estefania59@club.com"/>
        <s v="velafabiola@hotmail.com"/>
        <s v="sara71@lucero.com"/>
        <s v="alta-gracia96@club.info"/>
        <s v="murocynthia@club.info"/>
        <s v="carolina12@valdes.com"/>
        <s v="marianodelgadillo@proyectos.com"/>
        <s v="patricia66@hotmail.com"/>
        <s v="angel23@yahoo.com"/>
        <s v="almafajardo@proyectos.com"/>
        <s v="silviapabon@corporacin.com"/>
        <s v="htorrez@despacho.com"/>
        <s v="bravofrancisco@gmail.com"/>
        <s v="gabriel22@pineda-villarreal.info"/>
        <s v="maria-del-carmenramos@hotmail.com"/>
        <s v="rgarza@castellanos-cedillo.net"/>
        <s v="pbarrera@gmail.com"/>
        <s v="violetaorta@hotmail.com"/>
        <s v="miriam44@bravo.com"/>
        <s v="madridolga@yahoo.com"/>
        <s v="del-vallegabino@cornejo-valles.info"/>
        <s v="dvaladez@saldivar.biz"/>
        <s v="zcamarillo@yahoo.com"/>
        <s v="maytetovar@hotmail.com"/>
        <s v="monica51@gmail.com"/>
        <s v="horaciourrutia@saucedo.com"/>
        <s v="lmaldonado@yahoo.com"/>
        <s v="felipe48@proyectos.com"/>
        <s v="trujilloalonso@gmail.com"/>
        <s v="alvavioleta@grupo.com"/>
        <s v="victorialeal@hotmail.com"/>
        <s v="wgarica@industrias.info"/>
        <s v="josefinabueno@despacho.com"/>
        <s v="abrilbadillo@hotmail.com"/>
        <s v="ymendez@yahoo.com"/>
        <s v="hestevez@yahoo.com"/>
        <s v="esmeraldaguajardo@yahoo.com"/>
        <s v="sevillamicaela@villarreal.com"/>
        <s v="zmejia@club.com"/>
        <s v="sepulvedacarlos@amaya-ortega.com"/>
        <s v="barrazacornelio@yahoo.com"/>
        <s v="tvaldivia@alarcon.info"/>
        <s v="najerazeferino@hotmail.com"/>
        <s v="teodoro56@yahoo.com"/>
        <s v="oliver93@hotmail.com"/>
        <s v="aurora38@hotmail.com"/>
        <s v="vquesada@grupo.com"/>
      </sharedItems>
    </cacheField>
    <cacheField name="ID de orden" numFmtId="0">
      <sharedItems>
        <s v="53a9e98d-d57a-488e-bcec-701bc4e1ec3e"/>
        <s v="10c739f0-f7fb-4c8e-a239-ed1f5c295465"/>
        <s v="d7c9e19e-1228-4326-8b2a-cde42e222a67"/>
        <s v="91de2837-a873-4607-8185-7fa6844d2be8"/>
        <s v="4cfd7c38-6607-4b36-ab60-fb259d4e18b4"/>
        <s v="a4da2665-dfb9-46f3-b658-cc5d0505dd86"/>
        <s v="8d23f99e-11a9-4194-979d-e2f334eec6fa"/>
        <s v="a895a20b-523d-4f9e-a3e5-039259362c4f"/>
        <s v="14722e2a-7971-43ee-ac45-587157e6f198"/>
        <s v="7424e9fb-eb47-4eb6-b0ee-330eb470b214"/>
        <s v="a4b8a935-59ba-43d2-9d68-660ee91a5acd"/>
        <s v="9c8710a3-d9ef-4a00-9c0b-7c93d5fb8f63"/>
        <s v="eb72415a-2fdb-436d-a740-aa38fe92dba8"/>
        <s v="a9fee7b5-3729-4db8-815f-355ff6236823"/>
        <s v="1d366307-d6bd-4e44-b202-bab1ce141dbd"/>
        <s v="a076e80e-95f4-4b8d-8e0e-af032fd3e7e3"/>
        <s v="55a4140a-ad3c-4b67-9d33-7eb275fe9440"/>
        <s v="af1640cb-8d21-4be4-a497-cf19ebe3fa3e"/>
        <s v="7c7c5e94-04af-466b-bbd2-9ba60b16b6cc"/>
        <s v="fd56654c-43c9-4016-8183-cbdf6b382ba6"/>
        <s v="b510688e-fa24-4654-b955-0b6adeee039e"/>
        <s v="99bc21fb-dcd1-48e4-be06-9bd0b762b73e"/>
        <s v="38daf333-0f89-435f-9b2d-a6d639ff33df"/>
        <s v="cc9f2851-c332-405f-a3fb-1abae821a706"/>
        <s v="7ac1b8fd-c88f-4033-9061-4a7613449273"/>
        <s v="a1cb1e10-0e31-479a-b8bb-5dc909b32b66"/>
        <s v="3786d3a2-e035-4239-845a-3dce8eca0b61"/>
        <s v="06092c99-a04c-49aa-b1e2-81711e255109"/>
        <s v="428f89ef-5eb4-469e-b29a-14fcef36e9d3"/>
        <s v="c08f9ba9-0e32-4277-937a-eae40b912ab0"/>
        <s v="e8070b1a-de24-4296-b9ca-c4d62784eb47"/>
        <s v="19a6e9f7-0a45-4879-ab17-df6979e1e612"/>
        <s v="e1d56019-1e10-4a1a-9dff-bff7048987d6"/>
        <s v="a1278508-c2d2-4e1a-9ab3-cd5dcc25c9cf"/>
        <s v="afc92f17-61fe-4e4e-84c2-09515ccc8e07"/>
        <s v="116022d7-56fc-4596-aeba-30c58ab21dbf"/>
        <s v="c196a64f-ac47-4c79-b416-d0807432cfa3"/>
        <s v="2ad918fa-d68e-42ea-926c-414454fd8220"/>
        <s v="9fc06fba-9376-4e96-97f1-0aeca2f00a87"/>
        <s v="d1068262-a372-42f4-b5e9-48fa9a84b933"/>
        <s v="5c299656-4419-4c69-bdd2-2dc9b8af337b"/>
        <s v="581770ae-84a5-4fc3-ba77-826c11cb3e70"/>
        <s v="bb32f0ba-b764-401c-a691-3d59b0136679"/>
        <s v="538c9408-8b8b-4785-b9f9-cd2657097173"/>
        <s v="4e9e641c-a0d6-4903-8f6e-f87d90c24aa0"/>
        <s v="e98e23f8-e415-4062-bdbb-4e90ecd252c4"/>
        <s v="88268205-0f39-4e9a-9353-1a9ee68c009c"/>
        <s v="426433ea-0410-4d24-b435-247c7b633415"/>
        <s v="dca19bf4-3f5f-484c-bfdb-75c9ded28858"/>
        <s v="7594ffab-c88c-40b4-b851-6897e6230fb0"/>
        <s v="306238f0-70d8-49c3-bc3f-5c9df03698bf"/>
        <s v="13857721-e31a-444e-a2c2-774566eb5f26"/>
        <s v="a2d32009-f750-4260-8311-8300bd425ff8"/>
        <s v="fad038ce-1b32-4c25-85bc-38c2262677ee"/>
        <s v="4a70ae74-59ef-4f8f-98ee-d8fff858e22d"/>
        <s v="9ffc235a-1e2b-44c3-80ec-61b7a7d4cbc5"/>
        <s v="890c4fe3-a2aa-473b-a2ff-9c2704d3ac14"/>
        <s v="7413d048-5e1b-4043-9969-89781ce744b0"/>
        <s v="40b3bbac-c623-4647-a606-b5af9a39c69f"/>
        <s v="af87cfff-afb0-4f85-888d-e5db29ae4766"/>
        <s v="f0548b33-86eb-4b3f-a1f4-cef9f9f11955"/>
        <s v="972dd545-20a8-49a2-be8a-93f570eba58b"/>
        <s v="6b47665a-5972-4a11-a9e7-d42e56cf42a4"/>
        <s v="8e55023b-2774-4015-86a2-780e882c0d87"/>
        <s v="64e8cb7b-f59e-470c-b704-3f79a8f2cc9e"/>
        <s v="dac843fc-5bc0-475f-a01e-8c48a965a9c2"/>
        <s v="fc8a05ee-e84e-44f7-96be-898033a352b4"/>
        <s v="c1103728-e36d-48da-ba95-42c7fc1ccca5"/>
        <s v="6a83774a-e4f8-4c9b-ae75-2c985e801156"/>
        <s v="03d8d67d-53e4-43e8-bd00-72801ff4e987"/>
        <s v="be245970-0c63-4d78-ae9d-e25f66cad9cf"/>
        <s v="50843e6d-c79e-434b-87b9-c3050b4bcc8f"/>
        <s v="bddbebd3-8d7c-4f54-b99a-707a32de78d9"/>
        <s v="a65e1da8-d4c4-4925-b15a-eefb65f84daa"/>
        <s v="44eb6606-bfe9-426e-8e4f-c7683d27a64a"/>
        <s v="b033c422-b86e-4729-a448-c047ea02bb69"/>
        <s v="c2384374-01f4-4848-97cd-a1327649abfe"/>
        <s v="9fa9acba-1ca0-43da-be32-3ee4f9804f9e"/>
        <s v="b17b1651-8264-42dd-ac16-7674416db2f4"/>
        <s v="165c0023-40a6-48a9-847c-8e2378c194fd"/>
        <s v="8f822140-8a36-4160-bf5d-68a254229e14"/>
        <s v="70a2c437-9cb0-4e0b-9cd5-ec6294260bb1"/>
        <s v="36cc47e7-ea9e-410e-ab8c-53adeed2d905"/>
        <s v="6c3fead4-1fe5-4288-be37-3b39d5d98304"/>
        <s v="a7a8f827-451d-439f-95ca-6682c5127351"/>
        <s v="8dcb205e-e032-4baa-a658-7e640f07fe1e"/>
        <s v="0a037e7f-e874-4665-a3e4-734c560a30f9"/>
        <s v="9cba1b15-28fd-439f-af54-d9a1bf7128b0"/>
        <s v="1a70ed1b-c3d7-4e03-b54a-3308b332ece5"/>
        <s v="8cbf9f9b-f7d4-44ca-9484-0940e88fe51a"/>
        <s v="6321df0f-9103-4ad4-8571-120df4dd675b"/>
        <s v="cb4fece9-bf8f-4e7d-8218-b9d826729e46"/>
        <s v="a279348c-c747-4e18-b056-f066a8c54d22"/>
        <s v="54ac59d8-1eda-4373-bd55-691a4a1a13f9"/>
        <s v="278f1d63-6044-406a-b286-8ed51ce0b45a"/>
        <s v="f2f8a751-e6da-4e2b-b90b-7189fd4833ad"/>
        <s v="f34bc8a2-d539-45c5-a4cb-e23ab3ad1bf9"/>
        <s v="76fde716-641c-4ff4-848c-ade7a38970de"/>
        <s v="8cfb7643-588b-4ac4-8843-ef2886b4bbea"/>
        <s v="f0d38b06-2059-47d6-9f56-aefc70f2727d"/>
        <s v="969772b7-82a9-4281-b808-f08dbacfaa54"/>
        <s v="92461461-c9c6-41f5-ba8b-7e68bb7088ec"/>
        <s v="041c1c21-48c4-49bf-8301-a26b4b366c97"/>
        <s v="0db62a2e-44b2-4c21-8063-f5b1546b6955"/>
        <s v="8d1f42be-4310-48c3-951b-e030b1423297"/>
        <s v="7fcd384b-a0e3-4e0f-a707-c4a8a1b4c112"/>
        <s v="3a57b856-992a-4aa3-a497-f62acef32235"/>
        <s v="21eb6780-a2cf-4959-81fd-6bec09658cd0"/>
        <s v="4b66bc0e-757f-46df-8fd9-af3d9751bd47"/>
        <s v="0d3db73a-8164-4ea7-82ec-bc976d02b86a"/>
        <s v="af40dcd7-913c-4661-9539-8e5b477bae0b"/>
        <s v="8a1ce3fb-e2c2-4c33-8f15-c428f8a97642"/>
        <s v="731cae55-5431-4c89-89e4-ae12557b88e2"/>
        <s v="fa85138f-7fb2-499a-acc2-02957ef92673"/>
        <s v="13dacdaa-eb35-4a33-acaf-5c98625d9304"/>
        <s v="748ca89e-cc7c-4b74-9211-5c7153943bea"/>
        <s v="ef211983-e418-498f-bd94-b407618f19f2"/>
        <s v="46208692-578c-41c7-a7ca-6da2fc87ff43"/>
        <s v="c959873c-5ee3-4647-bd0b-df86bd37e523"/>
        <s v="a735a980-0215-4741-924f-a6525c85f916"/>
        <s v="298b36d0-dae0-4465-94e0-f5a242f44bd5"/>
        <s v="826d9505-bc85-407f-95a3-b12b5fe5566b"/>
        <s v="1bb7ccf0-5ad1-49e5-831c-01f403e1e8ae"/>
        <s v="8ce73f48-2cc5-4586-974b-db612bc9d6ae"/>
        <s v="b07b2920-9fbe-4a2c-ab22-d232c3ad228c"/>
        <s v="57a6f553-cfd0-401a-ab8d-e08db3b7b54c"/>
        <s v="e17b8e31-1444-4e73-8d2e-98e479a23fab"/>
        <s v="a84bc74c-2d98-4331-a5a9-c762bb61fb2e"/>
        <s v="a87e348f-adbc-474d-84ab-934239890915"/>
        <s v="d9c044d0-2d9f-4974-b4ef-0cbae299e695"/>
        <s v="ed2140fd-8a01-4a73-bd2d-02153d2e7f26"/>
        <s v="1c3f2222-1db8-46db-876a-6f85812ebbbf"/>
        <s v="78bdd5ec-2c8a-49c9-918e-bfe3147b65c3"/>
        <s v="05462222-2134-4569-8058-16e2b626c19b"/>
        <s v="028c3012-bbb3-43aa-964f-69aba65f05aa"/>
        <s v="b3ac9ad7-3336-45ee-8e9c-45dd90295e61"/>
        <s v="a8f00c77-f3a2-4ae2-a236-7df93148023d"/>
        <s v="b87357bf-0adf-494c-9fb2-d5fb5810088e"/>
        <s v="1abba075-8634-44a4-b6c5-0ea6c8708df0"/>
        <s v="972e7cf2-8e0a-43e6-a952-bbda3382870a"/>
        <s v="ec133e61-2767-4fb0-ab9c-665b9e47a3d2"/>
        <s v="0281b754-3298-47cb-85b3-b7e7a8c57bab"/>
        <s v="5eb46f68-93f4-40bf-ade8-2f3822a7d3fe"/>
        <s v="4473af02-2d6e-42ae-8fd6-1e6eb2b0c846"/>
        <s v="a12e4ea3-c46c-4bfd-9028-7458aa0b25d1"/>
        <s v="41fe435e-4e1c-498f-8112-8a52ebd37db7"/>
        <s v="ac86de05-18a9-4269-876c-d1c20900fd8f"/>
        <s v="ce229233-81ec-4127-be94-95ce93175cd4"/>
        <s v="56137b69-5c0a-49a2-bc0e-cd99b52af4b9"/>
        <s v="15c161e7-84e8-482a-963e-a7e6326abc14"/>
        <s v="bda4c76c-8205-4def-8d46-9d2d6a40365e"/>
        <s v="39880590-7dce-48d2-a8b2-dcef91f42511"/>
        <s v="8961a6a3-8576-4db8-bcfd-98eaefa53976"/>
        <s v="53b6bfd4-05a9-41c3-adeb-dfaa20821700"/>
        <s v="51322ec3-e52c-417f-9f2c-20ffb25bf684"/>
        <s v="59db14ef-c72f-4719-807c-e681756eb5ee"/>
        <s v="a05c93ff-9a7b-4d33-9591-f2fbfbc01017"/>
        <s v="16c09f74-0932-405b-8587-0165634b10b3"/>
        <s v="6bbde35c-e30d-4e24-884b-5b00ccf47e4b"/>
        <s v="0e28ad98-fe18-44a9-9a89-466a166843e3"/>
        <s v="467ff27d-c3d7-4928-bade-34474e2a754a"/>
        <s v="0cede563-5f38-42bf-93ca-f67930084cf1"/>
        <s v="4143d835-b0c6-4920-b3a2-df5339be92e0"/>
        <s v="6e634080-3cde-4f41-b8b8-f7a29d0086fa"/>
        <s v="5118c46e-3697-423d-b0f6-bcb15c09e38d"/>
        <s v="673092af-8716-453b-88f4-efdc6f33c1e5"/>
        <s v="757f4440-b8cd-45b5-9b13-c97ac0e0b03c"/>
        <s v="ee97ba16-5d7f-4349-b9a0-cc9069b8707b"/>
        <s v="2f004d71-2bd5-4fdb-a629-c4409dbaf7b8"/>
        <s v="f175c4e2-a107-42a1-87d8-ae02bbeada76"/>
        <s v="7c83c051-cdef-4ee9-99b8-ab628e7e0137"/>
        <s v="2ecd07a3-c49e-486f-a9f0-9a7b1dc20737"/>
        <s v="7973d01c-f337-48a1-8f89-e3be9acd41ae"/>
        <s v="36046905-c325-4177-8dd6-ef3a3eefbe09"/>
        <s v="159a0e2b-f468-4295-9e69-b0d9dd79d890"/>
        <s v="32958c32-9158-41e9-a53a-1fc911df997a"/>
        <s v="5a5c3350-ddcf-484e-8349-4b078818dfc5"/>
        <s v="62a79a02-2ff5-4434-a42e-150fc8d403dd"/>
        <s v="a2820ce9-6172-4e14-acb4-dbc156430397"/>
        <s v="41cf07f1-c8b8-4719-8e87-4c6a66e4a90e"/>
        <s v="39df2d77-4667-462c-a9a5-a4502b01e2af"/>
        <s v="6486d7e7-8b63-4036-a105-6f846c2be7ab"/>
        <s v="1a1b2b13-06f4-45bf-a9e9-678df211aedf"/>
        <s v="87c5ffd3-6c28-4101-af3b-154ff4ae6392"/>
        <s v="d4f65876-1ffb-4376-ac69-30bc4a1f11d5"/>
        <s v="96edea28-2897-4637-85bd-60acc395c4c4"/>
        <s v="758acf48-c5d8-4ad9-8a21-e3e1440e091e"/>
        <s v="68461278-65b9-41b1-b4b7-f73c4451f4cf"/>
        <s v="45b0ad4b-932c-441b-b413-53565decfa94"/>
        <s v="1dada63c-2f5a-48d7-8e04-d26aacd30687"/>
        <s v="0461093f-4c28-41d9-b8c1-8f858b8a8164"/>
        <s v="95e49e46-be39-496b-8a9b-52bd39505406"/>
        <s v="b530707f-4d7d-4afc-bde4-e36c5328a487"/>
        <s v="8a075c13-f70b-4b5b-909b-e961bf332236"/>
        <s v="2acb1d18-6de4-4e08-ab0f-a43239b072ab"/>
        <s v="ec823a46-e1bb-48d2-a563-9abba872b426"/>
        <s v="bf0d8fdb-9d95-48a0-8ea7-0981d07129f1"/>
        <s v="9a710806-780e-4656-b1d2-a4266eab7458"/>
        <s v="b8d7d438-42a6-490e-878a-eabf47bc2626"/>
        <s v="102bcf63-b887-46cb-8d4f-8c9404340da9"/>
        <s v="26d71239-8773-4f98-a147-880cc7ae84cb"/>
        <s v="08148c4c-9768-48b2-a627-96eb9c4ecb15"/>
        <s v="2d413f59-b03c-479d-84d2-e6d17034f1ce"/>
        <s v="8b0b8f3a-d8c5-47fe-9e94-09d8d82d6464"/>
        <s v="6658ba19-5ccb-4206-84b8-fcfc241901bd"/>
        <s v="5deb41b9-32d8-431b-91ea-ba2fc94ad0f0"/>
        <s v="b159a2a3-ef00-43a9-86db-5aa4f2337f02"/>
        <s v="fcfe31f4-1827-4f08-8c09-fac8682e5bbc"/>
        <s v="699048e6-5415-4dd4-ada9-8e6e4a549eb2"/>
        <s v="ff0b4f20-17ed-4610-9fc5-30d4da7e79e4"/>
        <s v="cd9cf7e0-6da4-41df-8be9-2d02844b1c31"/>
        <s v="de92a9b2-739f-4ffe-aeb7-97d14d474602"/>
        <s v="d513a436-d4fe-4ff3-8ec9-e92a32ed8cc7"/>
        <s v="bd82514d-6aed-4ca8-885d-60312b6b736b"/>
        <s v="9e5f6867-749d-4b5b-97ef-2330c2558d3d"/>
        <s v="afbe8b22-f099-435c-a4a9-2882252b6103"/>
        <s v="df30a4f3-dbd9-408b-aef6-130263821f4b"/>
        <s v="446489c3-d916-48e8-af47-535cb42956ac"/>
        <s v="56344cb2-c22e-400d-87dd-49a631ced56f"/>
        <s v="1a50b4b1-1657-4b5e-a237-9cfb5c083efc"/>
        <s v="bfe71cbd-5340-41ca-b9f4-c5301c10428f"/>
        <s v="3c957274-31de-4637-8c46-828eb2c095e9"/>
        <s v="a54ade2d-7062-4dcd-a41a-a92c117729ad"/>
        <s v="c4d429ce-cdcb-4f2a-b91c-26eac3db495e"/>
        <s v="75ce132e-b6d1-4542-be19-8b8ae4cfee4c"/>
        <s v="862a25a8-b572-4c67-85cb-bdd2f7503da7"/>
        <s v="03d30ca8-82a1-4711-a969-6585129ef1c6"/>
        <s v="42eeb64c-1110-40be-a856-c0a364fb8c30"/>
        <s v="261825fa-a4ad-4a21-a7ab-e2b644eaa67a"/>
        <s v="fa9e790b-934a-4153-b8d1-cb8319d59c61"/>
        <s v="0e47c0df-dd8b-487b-8097-21c972837f36"/>
        <s v="d220d617-88a5-417d-906a-713dd8d57f69"/>
        <s v="656f3966-abb8-497a-981c-4e2bec529c24"/>
        <s v="a98bfa4e-dd81-401d-b806-a98b5c514056"/>
        <s v="3341556d-8dc1-42f2-b455-3a339ff909cd"/>
        <s v="f0291dc4-c15b-4bcc-97f0-04c50c8926f6"/>
        <s v="3217ab5c-f143-443a-aece-3a47846a3ff2"/>
        <s v="60d8025a-b531-49e9-a8a9-cc068cf74685"/>
        <s v="d9c1410d-a481-442e-a55e-c877ab1e7b3f"/>
        <s v="0cf77e4b-7fd3-4462-8680-6cbd693e9c0f"/>
        <s v="46378c72-4067-4729-b1e5-3d39203ab930"/>
        <s v="60961cdf-09a7-4a32-8c6c-2d05f517439d"/>
        <s v="9d83faf6-b95d-4623-85a1-78d8b416dd3f"/>
        <s v="7a66e4f7-bc95-4384-85ad-39070d893921"/>
        <s v="d5751f29-c753-47da-9e7a-d5ed1090b0ad"/>
        <s v="817537ef-9729-49a5-8458-d7108a639dab"/>
        <s v="15d306a8-d422-44fb-9ae9-88cc0402b65d"/>
        <s v="0ada26be-f753-405b-a1a4-3599df81e700"/>
        <s v="c499769d-908e-43f6-bd30-c1817bd0deff"/>
        <s v="1c44a1fd-cb0c-401e-8e21-c1a8d9242148"/>
        <s v="bc02e752-e8f9-4729-a7cd-24ba1ff00164"/>
        <s v="8dbce9a8-4e8c-41c7-a836-12fe71b7ad0a"/>
        <s v="b3d5e0b4-2834-4e54-a96a-d9085614ca23"/>
        <s v="4082ebc9-a484-41c7-ae7f-fcdfa5f8c7f8"/>
        <s v="a6735135-46d8-4997-ad55-d449e18fd075"/>
        <s v="4c53a9db-d0fe-42d8-a909-921633d44173"/>
        <s v="c46fe29a-c3e5-4c00-b9ea-94b719c84734"/>
        <s v="10459092-6977-440d-ad85-b85e03763cf7"/>
        <s v="9c66ca34-d486-44b8-bf48-2843a252f7a0"/>
        <s v="80c340bc-bd50-477d-a7dc-27237bf10b22"/>
        <s v="357c27a8-d03f-45e6-be30-3565ec6d4ff5"/>
        <s v="c6f0a1e2-99c5-4a17-b0d8-ad6d416c81cc"/>
        <s v="f4841777-97d3-4cce-bc0f-17c21f34e253"/>
        <s v="7d131cdc-d20b-4dba-ba8c-67f9adbbcf3b"/>
        <s v="b7d845eb-4a64-4099-a793-3f93363ea49e"/>
        <s v="75b08c4a-c440-4f59-a757-c070085c6101"/>
        <s v="8204039a-5541-4976-bc5b-19da90d1ecf0"/>
        <s v="97a11539-f994-4f4b-9252-85c25f05e297"/>
        <s v="e686ffbf-1106-4e80-9c74-30ed3ca60174"/>
        <s v="95d058cf-b6bc-4829-8814-0306aba9f164"/>
        <s v="5b24d4c8-65a7-4ec1-8ca1-f46584e4d7f7"/>
        <s v="98bc06e4-82c3-4589-93d7-e941e1ae7c85"/>
        <s v="49d7397b-eb15-4d2d-b30b-8f6ca86b2125"/>
        <s v="d59afe7f-49e3-483a-97f5-ce81f54d250f"/>
        <s v="34e4f422-3bd5-496a-af08-11ecf5856460"/>
        <s v="0d9c3f44-a748-478b-8652-36bac0fde7f7"/>
        <s v="404fea2a-d896-4427-a0d6-e0581df99ba3"/>
        <s v="bfb5f658-102d-4d01-bec2-1f4cced1bbef"/>
        <s v="c100b479-c169-4f62-8d2a-82994a8ef0fa"/>
        <s v="11a0323a-7513-4fd6-84cf-79c923b2e72e"/>
        <s v="d58eb71d-bd78-4ec3-8a70-34213c01464b"/>
        <s v="814e531c-1781-4af9-86e2-0da4494565c9"/>
        <s v="499ebdfa-358c-41aa-8d92-cc8b5259dfd0"/>
        <s v="5659c3e8-e722-4ce4-a66f-283a33db3b2a"/>
        <s v="d710fc03-2b70-47e7-9fe6-590b75fdde09"/>
        <s v="850ed2df-b6ba-4845-90f3-4d82ffd954aa"/>
        <s v="5c84518e-8046-4ee0-802c-5c7e6eafa4c6"/>
        <s v="4bf38add-780a-44cc-839a-27eadcf0009e"/>
        <s v="8a06b4fc-26f2-4b8b-827b-2c6a1f537edf"/>
        <s v="36de6ea0-d38c-4032-a4ab-885c917e6447"/>
        <s v="dd6c8ba4-bdce-4e89-8a25-248a85e34e96"/>
        <s v="b9c6fc20-68c7-453f-b881-23c480cd6bd2"/>
        <s v="b2ccd416-d146-4511-9bd6-7eb3bd7333c6"/>
        <s v="e469cff8-fcc0-4664-b06d-c801efd84779"/>
        <s v="d06b5f3f-acab-4f8e-bf1a-8c1dfe18228e"/>
        <s v="d0cc2a3f-64b1-4463-bad8-280dbaa0e01e"/>
        <s v="0a194163-91a5-4990-a439-13d2a04cdd0d"/>
        <s v="63646080-8a8e-4da1-9008-d9bbefce4fdd"/>
        <s v="c6836bfa-f154-46e7-81fa-88577b4553a6"/>
        <s v="00f3b5c0-94a8-46ed-a8a8-4d11bde44da7"/>
        <s v="d8feecfb-981d-4008-b113-8a7aba34e4b1"/>
        <s v="5d5d2fc9-2318-4ab5-b209-bb096e9dc1a1"/>
        <s v="239ba516-3ba4-4ab3-afd0-e7520e4284da"/>
        <s v="6563276b-f905-470d-b64b-37b07114a824"/>
        <s v="892ddf8c-3dff-4e70-bc34-fe5c8d39a78f"/>
        <s v="a684008b-46bc-446c-9f1d-5210c524215e"/>
        <s v="3f4e6744-9808-4bca-91b6-ef2b005468ab"/>
        <s v="594ee58d-dd9f-43f8-bbcc-5f4716f3b8bf"/>
        <s v="61cc0a01-493f-48a6-8973-8cc3bf69bd4b"/>
        <s v="0877fac4-86db-45ad-94c8-6b0e1624953f"/>
        <s v="4e35c600-2a16-4f28-9de5-5ac2151674a5"/>
        <s v="710a2493-760b-4c29-8181-ee456d867a10"/>
        <s v="a406d85a-6020-4738-b3ed-53d680678126"/>
        <s v="7a847fe9-f974-4d38-9d3a-114f4c95ca6c"/>
        <s v="b5d71709-4790-49a2-b5ad-435f7ed9b979"/>
        <s v="b34e56ee-bab9-42ce-a5f4-4476f3368f27"/>
        <s v="98d1bc59-ba9c-4923-b9cd-06d3c57ffe57"/>
        <s v="2fcfe31d-bbe3-4d02-997b-2a688e44aa4a"/>
        <s v="29b35046-a922-4222-bb43-d4f2e673f05e"/>
        <s v="c048f440-4471-4f5b-8f49-4805f745f284"/>
        <s v="6a533065-10e9-417f-90b8-cc321916284c"/>
        <s v="2feb799d-af20-4c3b-99b5-36c59009058b"/>
        <s v="213520c6-9cb7-434b-bd54-ffac25a0f0c9"/>
        <s v="448e14d0-eae1-4771-8c1c-dd1f4ea21088"/>
        <s v="ad71df5b-e541-4c69-a100-86824806dfcc"/>
        <s v="a7dfe4eb-5eeb-4472-bdee-bc2113869dcc"/>
        <s v="86e384a9-c2a7-45ca-a673-368c949b7a96"/>
        <s v="31af08be-2649-4947-9338-28fb518be843"/>
        <s v="db925419-778f-4d29-963a-7f15f6e37629"/>
        <s v="bedb2d59-276e-4a43-a057-2331a8689f9f"/>
        <s v="1f9cafc0-71e6-4941-89cd-cd0654b8509f"/>
        <s v="6685e5bb-9081-494c-b6aa-422ddb87955d"/>
        <s v="437715f5-b663-4ceb-8e4d-01760b5c39e8"/>
        <s v="fe56b9b6-8658-46ab-b178-142e1c6c32ec"/>
        <s v="43e6f253-5964-4977-b9a4-0e5736909a2d"/>
        <s v="8cbd3d88-e898-4121-92bf-4315def5c26b"/>
        <s v="df469a69-84f1-42dd-80d3-89ef0d15476d"/>
        <s v="4f8944d0-df82-4668-beab-3dcdc6f3cf2f"/>
        <s v="2c896ee7-2283-43d2-9ff9-44e43322ed6f"/>
        <s v="5d97fe11-f95b-42c8-8f10-ab98a05aedf1"/>
        <s v="1af3b08f-465e-4aef-884a-7fb512a724c1"/>
        <s v="0c2c5144-f911-42db-bd29-5f8d9540954e"/>
        <s v="33b5cb0d-ba44-4160-8e1f-1175cb33b310"/>
        <s v="344db87d-a5d1-4172-aec9-fa915cf7c5b7"/>
        <s v="50132920-f6aa-4e4d-8964-c48df8dcf12f"/>
        <s v="1ee6182c-86b4-4ebe-b5e3-4e371ac515a7"/>
        <s v="67e78427-8d9f-40c5-b32d-df9777d2029d"/>
        <s v="2b9e4412-7cfc-4c93-b65b-fdd1b959ea0f"/>
        <s v="f3f6eded-9605-463d-befb-0ec09cb7398f"/>
        <s v="8ad2a9d2-c3c0-4b9e-8d31-bc798c2a566c"/>
        <s v="9376962f-fb7b-4390-9eee-6e8d5c685697"/>
        <s v="499a27b8-9b8a-42df-848c-279a1fb88d7a"/>
        <s v="208bb22e-749f-4a4a-a2fd-3ec3a0703858"/>
        <s v="24f20540-a81a-4ad1-acf0-df3af36dae7d"/>
        <s v="7a1fbf36-eb1f-47d5-9a36-263dd8af1257"/>
        <s v="26650ad1-0a4e-4c43-b8b0-99095f0adc66"/>
        <s v="3cef5bc2-1b15-4ce6-a4a3-3a3e5951e220"/>
        <s v="4166e455-ac94-49a0-9bd8-7a5c8a17ac45"/>
        <s v="0a5787f4-b611-4db3-9a36-d6bd45f0ce8e"/>
        <s v="c433376a-096b-4d0c-b385-da369f628996"/>
        <s v="f04eeda0-c720-4430-b322-240c09bd8019"/>
        <s v="4d35d453-5b30-4e58-a33c-a870dde7a68f"/>
        <s v="ee1c498f-9419-41b5-aad7-950f328bcf29"/>
        <s v="1721608b-9124-49ea-8ec0-ea350388ca09"/>
        <s v="715a22e4-0dbf-4ab3-9d6d-bc8cfaed54f3"/>
        <s v="4185aaab-33a2-4e6e-bebe-5b6cf12100d2"/>
        <s v="5b96a097-c481-4d3e-86e5-63c57b646a68"/>
        <s v="89989cae-b728-4235-9a32-5fbf288f2094"/>
        <s v="3cad7de1-68ae-4cc7-b586-20c1f7e16a6f"/>
        <s v="43dd123c-830b-4e71-8f96-a6643feac4d9"/>
        <s v="d7d84721-5bb1-4a4d-b1af-1660508cc586"/>
        <s v="5b8c2387-f4d6-4823-8d42-a41707a832ef"/>
        <s v="b97d18e7-1657-470e-bc41-0860e9f0889b"/>
        <s v="512f8818-bb8d-466a-9f10-79bd8f52408b"/>
        <s v="c9d412ed-c316-4612-a0d3-34580de6a8c0"/>
        <s v="0290472b-3bf5-4451-95ed-11349e543e25"/>
        <s v="de4c96f0-b965-4289-ab99-9976cb8ce9b5"/>
        <s v="6a272f91-94e7-4624-af64-2a57ea5ea246"/>
        <s v="c744e13d-7463-4060-ba2d-cdabdb1c3b2d"/>
        <s v="20632308-0231-4070-97bf-4fc82c188f74"/>
        <s v="9183f20d-2692-4cfd-9433-54c64739a537"/>
        <s v="63bf917d-0951-46b0-8ecc-bca9b657690f"/>
        <s v="c800eb85-be04-43c5-950c-4be1b628b942"/>
        <s v="3d80365e-3ca4-4c40-b7b5-8655955878bf"/>
        <s v="df1772a5-47bc-4e80-a07f-cca86b2ebcdc"/>
        <s v="0bbe7dc7-b837-4dff-83eb-a691bf3d9337"/>
        <s v="c0e13eaa-0352-4ecd-87d9-f5acfcbb40df"/>
        <s v="50041cfa-9dbe-4a33-855e-dfc293e0392e"/>
        <s v="7d923bc2-e260-42ce-af34-40f80a5bb97e"/>
        <s v="a0229848-67ee-4a81-b13f-f722ded36349"/>
        <s v="dbe8b52b-292f-4415-82d6-3dad0ebf96c7"/>
        <s v="efd76242-e0b5-4aca-8c44-84ce7f553f97"/>
        <s v="74aa1913-0ff5-4bb1-b6ab-0793b04293d5"/>
        <s v="770c656a-1e48-4e6d-8a82-6d225a04964e"/>
        <s v="9b5f5828-58aa-4107-b467-e223f64cae41"/>
        <s v="5adc0581-cda3-450e-9af3-c3c10c954910"/>
        <s v="9ed12598-d607-406c-a92d-66e498a65727"/>
        <s v="077fd234-6153-410d-a149-184f01f2e37a"/>
        <s v="557a8a9d-fb81-41f2-9c1e-7c5651463eae"/>
        <s v="5548f892-9c81-4567-87e7-399e543e91d9"/>
        <s v="147138ab-2800-4faa-9770-b5aac577f7f3"/>
        <s v="4f7b91d2-aac8-4620-9241-12ffa5035fae"/>
        <s v="e4cf76ae-abd2-47d4-a0b7-6238612481ae"/>
        <s v="76bda0d9-e9f9-4356-9c98-ac7e6cc773af"/>
        <s v="08b75205-ce56-4b95-a64f-9819304e40e0"/>
        <s v="be84e0fe-9e4b-46e0-be04-6f0f71667755"/>
        <s v="6df2b0ce-9ac0-4cf2-946a-557bf24c972f"/>
        <s v="279ccf00-0de5-4813-a6ed-58a52bc1a5ad"/>
        <s v="8f7b25cf-e88f-4704-9a71-5fe4e6e4d0c9"/>
        <s v="8429854b-a406-4cf2-9cdd-ed466b843f6e"/>
        <s v="df7faa34-7de9-48f0-8ba1-2897a5b1e8fd"/>
        <s v="6b1218cd-9317-4016-8163-c9066aeb1992"/>
        <s v="a7ec5218-20b5-4ecf-b899-d9c26fa6614c"/>
        <s v="2a51a5bd-6af1-4306-8be1-f8bb0f7106d3"/>
        <s v="21534354-fc0b-48d9-9d78-62a4badc1a43"/>
        <s v="2928f18a-0aa5-4ac6-90e5-f816a534a90a"/>
        <s v="111af87c-5fa3-4502-94ae-5ee5b28a52c9"/>
        <s v="22325f75-012a-4872-929d-f3dcad77dde8"/>
        <s v="8faa345b-0095-4a30-b89a-79a7b53e217a"/>
        <s v="17ce4fbf-b0f5-4e3b-aeb9-956b5c881168"/>
        <s v="7ca60689-ffdb-4ad9-b339-4085c13dfc70"/>
        <s v="54fb7e8c-ef1d-4daf-815b-e5c1e7948ed3"/>
        <s v="51261e24-fd4f-491f-82aa-f60c2d85e228"/>
        <s v="dd4ae052-c48d-46dc-a438-fad5a215831b"/>
        <s v="627df819-fafe-490b-ae7e-587db323ca23"/>
        <s v="200bbda1-4911-48eb-b2f0-a013eecdf376"/>
        <s v="68c5e3c1-7b1b-43a7-acde-3a8ad2cd8bac"/>
        <s v="c04d55c7-13f0-4d59-820e-72c4f05b3e9a"/>
        <s v="6fbf18c0-1d19-4cf9-b5cc-83d5970b7678"/>
        <s v="01033810-39b1-401b-94e8-71a15ff61d49"/>
        <s v="27c73c7b-510b-4161-81d3-83559a1ad5b1"/>
        <s v="7ba0efb4-239e-4695-a171-7e53a2d5321c"/>
        <s v="38bac1f5-8a77-4803-a105-2adcca972ed6"/>
        <s v="1c737d8d-798a-48ec-948e-46c132c3393f"/>
        <s v="fa3bf710-eb5a-4873-893c-d6a73dc7c4f9"/>
        <s v="93eed3fe-4660-4b73-ac92-7b7bf72ad00f"/>
        <s v="ff3bf349-be3d-4ed5-a05d-026306680047"/>
        <s v="50ca8d12-6f3b-4d72-852c-ddb04e41ecb0"/>
        <s v="3ee7965a-242b-453a-bf95-82e9c7bb26d1"/>
        <s v="60fe9134-df81-46f3-ad0a-16da706fecac"/>
        <s v="69e33745-af53-42a9-8a08-ab9b741268f8"/>
        <s v="54181b0d-ea89-4121-a212-605c632d4222"/>
        <s v="df7beeeb-1466-45c0-b687-7861cff4c459"/>
        <s v="4466335e-c645-4d4b-a152-4044038bf97c"/>
        <s v="a60e107a-d3cc-46c7-9a8e-b0aa9cfa7817"/>
        <s v="569d9a75-753b-41b8-9540-1368ec0acbe5"/>
        <s v="f76306ca-536d-4c20-8a36-77c9fc49afc0"/>
        <s v="d8b5d3e5-0632-4dbf-9b3c-2094a15de8e8"/>
        <s v="89fcd453-c6b3-469a-96fa-b54ec64f874f"/>
        <s v="4c0c62c7-01f1-4c1a-be44-12a93c7d2e39"/>
        <s v="838f9377-c59f-4f9a-a769-8126696776e4"/>
        <s v="0c6b7809-83fa-4fe8-ae0d-766b000834e5"/>
        <s v="873e756f-1f4a-4de6-90ff-4cb697b1e8fe"/>
        <s v="a5740e45-38d1-421a-8d38-8a6d427463c6"/>
        <s v="055f940c-62c7-485e-a8a9-6e6970c4bd9d"/>
        <s v="2a34b394-3a83-4acf-a98b-738080cc0de3"/>
        <s v="b138908b-b0cd-458c-9da0-707f94b0ffcd"/>
        <s v="f055f3a8-2041-4c8b-a2df-fc620ea22103"/>
        <s v="3f395849-b4c1-4e2b-9b2f-e88f10b94e05"/>
        <s v="fdba0744-ad19-42dc-a09e-8fc306cf7732"/>
        <s v="8ea7037d-ea94-41a9-96b7-83c29d8264c3"/>
        <s v="b76b9aa0-31e3-4e6d-905f-d7fc227d629a"/>
        <s v="8588db90-3e5f-471e-8500-c89cbc6d1623"/>
        <s v="2f83c135-17e5-4888-8b31-f505c0170e5e"/>
        <s v="30697ee3-c6f1-4277-b269-c3c951095f84"/>
        <s v="8018872a-4ec4-4b51-8563-8d9d85f09396"/>
        <s v="b5b62540-d5f3-4cd3-bdd3-48312389c2db"/>
        <s v="ac1d0457-8737-4d32-adc3-08dc6711b75b"/>
        <s v="8a373805-0041-447e-8540-70bded3c26c5"/>
        <s v="aeae3ab8-cc1b-48bb-8dc8-c1ece4d21277"/>
        <s v="3820b6cc-8345-41e5-85aa-bd7f843a64c7"/>
        <s v="86e77ae0-7bda-40b1-a21d-bd010a7db5de"/>
        <s v="27424277-2200-4cc7-a0af-4c423a089f4b"/>
        <s v="32755cad-98f9-4eda-8888-7def2a0dd965"/>
        <s v="1e7c8a1d-abaf-4fac-be1b-22c8312a6026"/>
        <s v="dafa21d9-a2ea-4867-b143-31f8243c024c"/>
        <s v="fd7d838f-61fb-4072-8a90-c3d1b393f61b"/>
        <s v="9643a7f2-7f1e-4f3a-b67a-e4db4ac513f7"/>
        <s v="009ae06d-cf99-467d-9ca4-a01697f72e27"/>
        <s v="922204f6-79f1-49ba-ab4c-25b2f7427397"/>
        <s v="5d45490d-e212-40da-9db3-7fe81d466e5d"/>
        <s v="c95e92f7-8dde-45fb-8837-d183a4786431"/>
        <s v="165472a7-d6ca-4fd8-9f05-0a98ddac11f5"/>
        <s v="03e2d336-f9ca-4b38-a731-4fc42de09dfd"/>
        <s v="1e54c09b-4c64-4a56-be8d-61e1318d7de9"/>
        <s v="67b79c05-b522-4593-8812-0d7f9fe8aead"/>
        <s v="2a1cc810-f23f-44be-ad5d-2c2061de3b67"/>
        <s v="94019fc0-5f8a-4f46-b07d-b18f9ed2fb2d"/>
        <s v="acec8856-d263-466f-b05c-84bd5b847fc1"/>
        <s v="54483220-8340-4be3-b6c6-51347b1f367c"/>
        <s v="f4ecf59b-ae01-485b-a05f-b80aa788d151"/>
        <s v="6f429ee1-fdee-4a46-88b6-217e010bf7ca"/>
        <s v="f6a4c26a-3865-4f58-99c7-07d8e2ca6da0"/>
        <s v="dba5fcd9-c9cd-46ba-a785-12d580ffe57a"/>
        <s v="018fc11e-35bf-41a6-9c2e-0fe1cb9dcb9b"/>
        <s v="14ad0f9b-ea8e-437c-b3d9-d3b4ddd90518"/>
        <s v="6a2ef805-75fa-4c53-b30f-57c35a82c2a4"/>
        <s v="b4335591-8cf2-4447-be7b-0390e7645fec"/>
        <s v="f0651ccf-cec5-4eb0-881b-198e786e21cc"/>
        <s v="b402f6a3-5340-4177-a05b-5f6189a1ccf6"/>
        <s v="76479ec1-d623-4c0b-afe8-94ed5d2b1841"/>
        <s v="da98ee54-efa1-4a37-a44f-16e69c8a3769"/>
        <s v="53cd2e8b-92e5-4411-a0ca-9f936ff0be49"/>
        <s v="30a44076-ebcc-4c8b-8064-9e1a18718512"/>
        <s v="74e91e22-a440-4514-996c-da314a1c94c0"/>
        <s v="915c486d-4ef1-4e6b-953c-b179a8d2ba80"/>
        <s v="294b26f6-bf81-4c20-9d69-4b0d99e6fdc0"/>
        <s v="b73ffa14-dae4-45da-b61f-6c3f7f80a89e"/>
        <s v="348f55a1-ec49-4749-b0f2-d28f1d6587c1"/>
        <s v="6d6dc8da-1c46-48a9-9864-d6731b144bc7"/>
        <s v="02858336-ce07-4437-8326-04e65dd55fe4"/>
        <s v="fa63cc57-bb9c-4785-aff8-0c7c326b44bd"/>
        <s v="45b7faf6-5799-4708-8c79-9b6b478ccfc3"/>
        <s v="03e4dd2e-3e51-4d0d-a880-eb30ad369498"/>
        <s v="853315fd-3f57-4c4d-b1c0-63876571d6be"/>
        <s v="0b7c1304-c2c5-4050-9b73-fd7e7c4c1936"/>
        <s v="586df37b-bacf-4952-94e8-20049c50d537"/>
        <s v="35bff7d1-834a-47b1-8627-e9ce0847bae9"/>
        <s v="6c9a8394-7c0d-49dd-814c-cdca8e78dbd5"/>
        <s v="f6a5ccaa-f8db-4293-9b11-932f3470afdf"/>
        <s v="1cc3a12d-c04b-4839-a053-31d0fce65570"/>
        <s v="be2593fe-882a-47b4-84fb-96d56973714b"/>
        <s v="e00df3f6-aa51-4a6d-bf1d-36462af123a2"/>
        <s v="5eb1511c-6bde-49b4-b1e9-39aeeca914bc"/>
        <s v="43bdd060-f236-479e-81bb-97be1c5dc7be"/>
        <s v="c331b5bf-7dc0-44f3-bbc6-33242970d6bd"/>
        <s v="2c43e82b-a86a-44f0-a9c7-359db0ff3d83"/>
        <s v="7a27100e-236d-45f0-952e-b7c838d737a2"/>
        <s v="25b223d6-04b8-478f-9246-79edbe8738eb"/>
        <s v="8ccc7ee3-b4a6-404a-9faf-787343dc06f2"/>
        <s v="4d39c9a6-3193-454d-9981-2f01cdfb6409"/>
        <s v="6d865eac-7ee1-4c9f-bf09-98a0163a585b"/>
        <s v="36d91d20-825b-4909-9326-ca55a5ba261f"/>
        <s v="ce0567fa-7e48-43a0-a5b7-07aa5cc439d0"/>
        <s v="302bfa8d-a0d2-49bf-ba0e-92515d5d4911"/>
        <s v="32a2277a-2bbc-47d0-9874-fcd6195b5e16"/>
        <s v="261f24e0-0c30-40fa-92d3-3c013d335e1f"/>
        <s v="bc41d301-8342-4b13-a0a6-0094760ae37b"/>
        <s v="b21c5672-3d61-481e-bd82-6e363e042060"/>
        <s v="fa21bde8-c128-4e66-83c3-a35891b527e7"/>
        <s v="ae03b614-5581-49d6-bb73-db61d22a7b6c"/>
        <s v="eec053a4-5ae1-415f-b30f-845523ab472b"/>
        <s v="a5a9edd5-c2b3-4542-ac87-c882564547e6"/>
        <s v="ed2a25dc-7b7a-4810-9252-9fa56521ff40"/>
        <s v="15c297bf-5d8e-4902-b9f9-0205a370b77e"/>
        <s v="48fa08f3-3f1d-41d4-98c7-9d364159c3ee"/>
        <s v="a487c1e9-95f4-4b1d-b9e1-8ce364aaa62c"/>
        <s v="b5d4423c-9255-4859-8feb-44a8655b46a4"/>
        <s v="5199a25e-ee56-4e1f-9c71-21f24998e8fc"/>
        <s v="2f12cb9e-2010-490d-9bfa-31410ba27433"/>
        <s v="495441f0-2d83-4d9c-aafc-5c80643ab7b5"/>
        <s v="32cbf6b2-5cd5-4174-8a02-005124de47a9"/>
        <s v="5c493940-b957-429c-b2c2-6378fa0e9e7b"/>
        <s v="d6516497-6c06-4709-8da9-2fbc709d5c67"/>
        <s v="b6857111-61b8-43f5-8981-c8ec006f2fb9"/>
        <s v="1801df3c-96b3-4e4a-be9c-19777e295ccd"/>
        <s v="af657191-85e9-4afd-94e6-b34adf3aa8e2"/>
        <s v="d7e693a3-06a8-4900-a649-17ebdc044442"/>
        <s v="2d00fa46-ed9d-4a83-8d4f-00268740aa20"/>
        <s v="b970ae82-fee0-482e-b413-b42d8439bc7e"/>
        <s v="82c801f7-86fa-465e-b47e-1a2faca2409f"/>
        <s v="3be08974-31f2-40c3-afb9-3a240fd500b5"/>
        <s v="eb22a1ca-e765-4386-9637-b65cff10da6f"/>
        <s v="e9aad92b-b3bc-438a-9893-00066fab9810"/>
        <s v="92e1c1ff-b495-49b7-a5b5-d0aeb1d04194"/>
        <s v="4b28f4e5-d521-4d6e-94a1-2e2d06559b71"/>
        <s v="a2ab5f05-64d9-4b5f-a606-40a5bd1bb17c"/>
        <s v="cb8f4dea-863b-4651-a226-6e0dec00b253"/>
        <s v="4f0f1770-3af6-4b65-a5e9-61a996e12a76"/>
        <s v="48f1f9b2-e5c3-45db-9c35-dba3af2b3e37"/>
        <s v="39f5457f-dcd1-4ade-baf5-0b5ac2798271"/>
        <s v="8d5984e4-42c5-40ea-a6b1-0829494656fe"/>
        <s v="0a48305d-5c9c-4afa-9ee6-8e31efd58718"/>
        <s v="c52c3f64-0bf6-4119-ab4d-0c0c46049424"/>
        <s v="0332c3e0-2f25-4dfd-ad14-79f12be80567"/>
        <s v="ddd463db-888b-4ab8-b2a7-396cacbc0f7c"/>
        <s v="650656a9-a043-47bc-ae91-0380ba19f6d1"/>
        <s v="63edf886-6d4d-489d-a1a2-e321304707b2"/>
        <s v="3773bcf2-e766-445f-90a8-279d0bd1b1ae"/>
        <s v="8f691093-3270-4ace-ae7f-f6404f3e9c97"/>
        <s v="ab896c73-e2a6-4dc5-922f-889ab750954e"/>
        <s v="e8b495a0-823c-484a-8e06-d1bdd07a0b5f"/>
        <s v="89cde298-9d2d-459e-ac2a-33f1db2b8db1"/>
        <s v="e14300c1-3569-475f-a547-4c787f5cf604"/>
        <s v="5532c3c2-1fd2-4b63-a93a-fe0891b55345"/>
        <s v="b5bf5404-1040-4584-9e23-bd9aa4a748c4"/>
        <s v="d079bbf1-e637-4020-8ca5-6bb2c45c34f9"/>
        <s v="7896d226-252e-4fbf-902d-719da7aaaf24"/>
        <s v="71b6157e-f3ed-4bd0-83ed-fc382c96bff0"/>
        <s v="72bb2e02-f0ab-4425-ad19-83e3487dfc79"/>
        <s v="f778848a-1ec7-484b-a619-98ff8730961f"/>
        <s v="008ee7b3-7786-4b09-b979-9ae857581c91"/>
        <s v="1de0d9e2-fea5-4f41-858a-b4d39e7e4657"/>
        <s v="5e0eecec-2dab-48b7-a609-0fd963d1d90a"/>
        <s v="24b8ae05-3a27-4a1d-b704-94fbf52b7e78"/>
        <s v="e13367f1-7d08-4bb3-a252-f1741f4928d8"/>
        <s v="b343399a-8398-43c0-a157-92dd7a44f5c7"/>
        <s v="45698812-aa8b-4fea-b214-81743c8c3e1d"/>
        <s v="2c42cc7e-a16c-4dc9-ae59-89dbe94c5127"/>
        <s v="0514f6bb-c61e-409d-8985-bc35bb86f4af"/>
        <s v="3b41356a-51cc-450b-9098-9b6959c32336"/>
        <s v="496f9895-2148-475d-9da8-8846db1a0d2e"/>
        <s v="f10d3d99-9f63-4b93-a89a-94e952ffcf1c"/>
        <s v="18b6e7f0-7f1c-4914-ab72-945d8d766ba6"/>
        <s v="9fd5d30c-2b67-444a-b0bd-e6ce0c2a3c03"/>
        <s v="a9af6b62-1d3a-42df-99e5-230a527f9cf6"/>
        <s v="d3e4b4f5-0e5d-46c7-a6d9-b15a09e90033"/>
        <s v="6b289530-390b-4fbc-a2f2-7adff1dc65eb"/>
        <s v="732de4a4-0325-4391-a400-19ffb39fdec9"/>
        <s v="df271a81-4486-42c3-b66a-88accdba843d"/>
        <s v="d1dd5a1a-3f08-4909-b8b0-04384056d29b"/>
        <s v="55359418-5f6c-4f2b-9e70-525bf3b5c143"/>
        <s v="1a8c7e9d-606f-43dc-9e8a-38707414cb60"/>
        <s v="b132b519-abc7-45bf-afcb-a51cf812697a"/>
        <s v="e4d04092-1822-4155-841a-4386e1c16529"/>
        <s v="6c36c1bb-60d5-43fc-9b1f-840f4136899c"/>
        <s v="570e94ce-b053-46a5-8a1e-1a663553c880"/>
        <s v="84862dcd-d58c-423c-99b1-8b1ee8b38e4e"/>
        <s v="73c9e2ed-d0e0-4b5c-92ac-e3a55014e974"/>
        <s v="22971ca8-f21c-436b-84f8-11a2a2c20ff6"/>
        <s v="e2689eed-d7a5-4b39-a1e0-7b6894376ce5"/>
        <s v="f8f7bac5-22e3-4fcd-8c93-90375d23c11b"/>
        <s v="41673c52-8873-43f3-b016-36a8c4e22ead"/>
        <s v="d28fd44c-05cd-4575-a1d4-081b8663b676"/>
        <s v="38689b3f-5f78-4f2d-8f10-c3c9cd750a01"/>
        <s v="c1fae86b-bd50-4387-a36c-f6dd0feee517"/>
        <s v="342d4b10-ea36-4f9d-a345-cbb571e1445f"/>
        <s v="1b8b26e6-8632-4b38-8f73-c6f0e70ccf60"/>
        <s v="346d7c42-eb45-461e-a667-5669781129fb"/>
        <s v="2613eb8c-73dd-4b40-8ff0-7cf4fa29b165"/>
        <s v="636e2a36-d8c0-4ac8-b15e-52b5f9b2507b"/>
        <s v="d7b9f594-a51e-4402-948d-437dc2679714"/>
        <s v="09c37b10-c227-4f88-9c6a-eb146d381382"/>
        <s v="4181125d-2bd6-43ef-b4f7-d88b503ebcc9"/>
        <s v="c039c16a-b7e7-4616-8b5d-dbc120a30d24"/>
        <s v="bea55d48-ca8e-4a5e-81da-22d3ae44e9a0"/>
        <s v="d6c6c3cb-6cf5-40a9-b8d5-65640f8dab1c"/>
        <s v="60d79197-fd4c-4a31-a577-d7d861b32c67"/>
        <s v="6962b6a9-7e9b-4fc9-80fb-8d56c5243ad2"/>
        <s v="1f4ac01b-7a1a-4d64-ae6d-a13b0dd45606"/>
        <s v="84603ef1-6930-4a3e-b3f4-2e56b1a84398"/>
        <s v="d5d39d13-0c4d-4695-9fb3-6fbc66298a78"/>
        <s v="784aa491-3eb3-4b5e-858a-3b24918b10a1"/>
        <s v="c7ef43ee-8690-4aa4-9f03-8c8f2d905b35"/>
        <s v="582a5e26-8066-4160-aeff-a40ad4fe52e2"/>
        <s v="dac9f21c-448d-4f16-bcea-f8eb66b827c1"/>
        <s v="a07f9aa3-2d4a-44b5-983f-9e8c4f941136"/>
        <s v="c3bb3562-c65e-4e05-bfb3-9df465d18c89"/>
        <s v="9e9a947c-796d-4653-bc4d-b777a5aa5e38"/>
        <s v="a8b647c7-bcba-44a0-8e1a-6b49fad5f46a"/>
        <s v="dca0f25c-824a-4634-827c-d385dafa7123"/>
        <s v="f2788526-390a-447d-aadf-5ad11ba53e76"/>
        <s v="720e7c71-4c87-47e1-b24a-7f8c021bc9a3"/>
        <s v="c6fe3646-36da-4379-b9d4-1237b3932c67"/>
        <s v="b8257a06-d0a6-4198-b8a6-7c4130b98420"/>
        <s v="688bf8b0-b0ea-4f26-96a2-bf0bf26b0c06"/>
        <s v="f6d11075-7912-4e6a-b081-b8502c35c2e8"/>
        <s v="2cd50550-d603-41b2-a403-b06bf90f402c"/>
        <s v="8e4ddf27-be01-4cd2-bc4a-4045e7298017"/>
        <s v="89a9fe2d-5336-4fdd-98cc-119f72686d97"/>
        <s v="632f3ed9-ab81-468b-93d0-16a797a5d1c7"/>
        <s v="5407753d-0304-48ca-9ea9-d8bbfb643e29"/>
        <s v="f3c3146d-5022-4c1a-8a7c-38632c504802"/>
        <s v="a73cd6f4-c471-4e0a-9570-af0860e0c5d1"/>
        <s v="9569ccbc-bd8e-4611-8386-71eeb9e0963f"/>
        <s v="8ade79e6-11e9-4fba-b189-eb3b62f4cbd6"/>
        <s v="590172c6-7ce0-48b6-82b2-7436a3631331"/>
        <s v="a49f90f7-8839-4571-8758-445882bf113d"/>
        <s v="46930688-ab22-4f38-922e-c8bdee972554"/>
        <s v="20d27746-91f7-427d-9e21-02ca06d5e5c3"/>
        <s v="cb2352c0-8796-4ebd-84d7-33203546a4cb"/>
        <s v="42475c68-ebdf-44e9-8ae2-152388b5d345"/>
        <s v="f10d9e5e-78e5-42f9-984f-478745f93fb9"/>
        <s v="e7e6c336-1e49-4295-a6a2-d4acf044ce4d"/>
        <s v="31d353ab-28f4-4ab9-8b40-a16ebfc9742a"/>
        <s v="4c7d52b9-0e48-4e31-bcf4-e5fd45e48176"/>
        <s v="700aef49-fe52-4fd6-8401-bbfa8ba48024"/>
        <s v="dffbee9b-2a20-4916-9f32-44754d3fae5d"/>
        <s v="7262df37-0083-41ed-b686-43f93dc8ea21"/>
        <s v="4404f1db-09be-4f2c-92f0-2d65ee6b0394"/>
        <s v="c7da08b2-c581-41ed-8398-757d407a24ef"/>
        <s v="698672ae-dbbd-4086-a5f7-90c3dfe00ff8"/>
        <s v="9e945271-543f-4b06-a34e-b1dfcd6b8450"/>
        <s v="9d189c13-ff1e-411f-93d3-ee251f727785"/>
        <s v="a244bdbd-1394-4bdb-bbc3-e6fc452874c4"/>
        <s v="ec0799d5-b19c-407d-9997-ef035cb093a4"/>
        <s v="117eebda-32b4-42cc-95e1-dc2c259fffa6"/>
        <s v="d8cce44d-2d8e-494b-b543-022a5aa32bef"/>
        <s v="1d820555-0e65-4a21-b58e-10930e326e7b"/>
        <s v="ed9aad8e-d0c1-4dda-a2ae-ab5809b7fd52"/>
        <s v="75a62e15-6018-4f88-b473-5dd4eb79e63b"/>
        <s v="2119f43d-1200-4439-ad32-eab189cb6475"/>
        <s v="517b090a-2e73-4c68-aad4-180d1350b369"/>
        <s v="7c10c6c6-9acd-42a2-b74c-041e173a74ff"/>
        <s v="b847cf15-a430-4067-b4ba-2bca14b1ebd1"/>
        <s v="4b439440-bf95-4e0b-865c-32dff4dfe00b"/>
        <s v="99b0e8dd-7174-4559-a628-143ef6d46608"/>
        <s v="5150f58c-f863-4f35-bdd4-d6cfc1a1ef10"/>
        <s v="5e092005-bbaf-4295-9ccc-3c9493b48d04"/>
        <s v="37a9f5be-b24a-4f6c-97bd-9b822a31fa1d"/>
        <s v="325642ee-2d8b-4a13-a954-d573be58d386"/>
        <s v="86dddca7-94b8-407d-9b43-bb0906ba81e6"/>
        <s v="791a6835-1e53-4dab-9537-f28d07071087"/>
        <s v="1d0dc58b-5630-4061-a4c4-8af444dd978f"/>
        <s v="3cd2ba34-59ca-4654-b969-558904dc2456"/>
        <s v="66a70af2-e06b-4866-8aaa-a2912c261d68"/>
        <s v="d035d687-44b0-4ce5-a8c5-2c6ad05a14b6"/>
        <s v="69ab5c31-c863-41d0-94a7-8aa6b0126003"/>
        <s v="257f5799-af41-462b-b2f9-acae82ba412c"/>
        <s v="d21d73fe-7b8a-4ddb-a473-47c717ebb087"/>
        <s v="c6ebe95f-880f-4175-b857-173d436e2753"/>
        <s v="7a049296-c624-4bff-8f06-3b6b06011495"/>
        <s v="7ce37500-a380-4f67-8cbb-04f3cb8e5cc8"/>
        <s v="43c7bc6c-6c1b-481e-b0de-1a182eecc87e"/>
        <s v="7a491145-3991-4010-a1e5-3b0f7d86b7e3"/>
        <s v="530801f5-4c88-4d00-b297-5944ebece83d"/>
        <s v="403acb42-0f8a-41c6-b42a-d1adc4b62bfb"/>
        <s v="f652769b-e1e8-44a1-8f3d-6f80c1ac3f13"/>
        <s v="c29d00e9-6a9a-45f0-b194-a343ff209570"/>
        <s v="ece1df7a-ba2b-48cc-9d1f-e8d8a307a1c6"/>
        <s v="0e8a03cd-16fb-4487-accf-bc309a83a97e"/>
        <s v="d337811c-59ff-494c-9e71-77b6282c296c"/>
        <s v="017b54f8-9568-458c-be6a-2127e15e3349"/>
        <s v="8d755bac-229c-4065-93f5-cba971acb014"/>
        <s v="0aaaf135-b356-4f2c-bdf2-f1df1f461081"/>
        <s v="1fc16a62-28d6-40bf-bd79-70a515ccaa32"/>
        <s v="123ae22b-bc9d-4228-96dc-fc15dfb19590"/>
        <s v="66f10c57-ee31-4fe2-b3a9-4e88f49e1e71"/>
        <s v="983f661d-1d5c-478c-aef5-611a679c13a6"/>
        <s v="1f451643-e6fa-4d54-b03d-304b7a23b3e1"/>
        <s v="2394f979-8464-44ce-a630-ae28dbf2d042"/>
        <s v="cce81a35-f0aa-40e7-a33d-43e447f74b34"/>
        <s v="d2226fcc-944b-4300-a358-816d2b168c5f"/>
        <s v="d4d30727-21e7-45cf-abfd-68611006864c"/>
        <s v="b7681cb8-fbde-4312-ba1b-0c772e149e82"/>
        <s v="d9f6800f-10da-460e-b27e-bdbb10820a14"/>
        <s v="dc08f2b8-94f2-4889-8156-0e3c3724d0ff"/>
        <s v="0fcf615c-8bf9-42ad-9b7b-8c8dfce43c46"/>
        <s v="bdb0c3e4-d084-49a5-a6b4-ba900b20e2ae"/>
        <s v="3bd772bc-8bbc-41a0-b2df-bdeee19f3595"/>
        <s v="47c5d8d5-18ad-4bf9-80ad-542822b25aca"/>
        <s v="8dac1bb0-62a5-4b93-9f18-74bb64e1f8a8"/>
        <s v="6b2a6d67-9ca9-4751-9892-59fbd4257856"/>
        <s v="7e9821f4-95d8-433f-958b-d88fd9985891"/>
        <s v="36cbc08f-0000-4ac1-a306-2119638696af"/>
        <s v="e6cdf437-19fd-4174-9933-e60c7eb6eab2"/>
        <s v="2ee16a28-cb66-41ad-9e11-480593b992f3"/>
        <s v="5cfc2d19-d3e9-408a-82b3-9e72a480e588"/>
        <s v="4d3c7cfd-d33e-47a8-a31b-f2a694c31429"/>
        <s v="bfde20ee-a837-4bd7-af36-f9e5b40dfe3b"/>
        <s v="ead07a50-6dc3-4997-a078-77b5ae38bb54"/>
        <s v="8d472941-b5df-4f80-b3a6-ece0e6978e8a"/>
        <s v="99a8722a-ede3-4080-9d85-450687f17be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754" sheet="Datos_Limpios"/>
  </cacheSource>
  <cacheFields>
    <cacheField name="Fecha de venta" numFmtId="165">
      <sharedItems containsSemiMixedTypes="0" containsNonDate="0" containsDate="1" containsString="0" minDate="2024-10-01T00:00:00Z" maxDate="2025-01-01T00:00:00Z">
        <d v="2024-10-01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d v="2024-12-31T00:00:00Z"/>
      </sharedItems>
      <fieldGroup base="0">
        <rangePr autoStart="0" autoEnd="0" groupBy="months" startDate="2024-10-01T00:00:00Z" endDate="2025-01-01T00:00:00Z"/>
        <groupItems>
          <s v="&lt;10/01/24"/>
          <s v="Jan"/>
          <s v="Feb"/>
          <s v="Mar"/>
          <s v="Apr"/>
          <s v="May"/>
          <s v="Jun"/>
          <s v="Jul"/>
          <s v="Aug"/>
          <s v="Sep"/>
          <s v="Oct"/>
          <s v="Nov"/>
          <s v="Dec"/>
          <s v="&gt;01/01/25"/>
        </groupItems>
      </fieldGroup>
    </cacheField>
    <cacheField name="Ciudad" numFmtId="0">
      <sharedItems>
        <s v="monterrey"/>
        <s v="bogotá"/>
        <s v="Ciudad de Mexico"/>
        <s v="Medellín"/>
        <s v="Guadalajara"/>
        <s v="CALI"/>
        <s v="TULUM"/>
        <s v="  Guadalajara"/>
      </sharedItems>
    </cacheField>
    <cacheField name="Ciudad corregida" numFmtId="0">
      <sharedItems>
        <s v="Monterrey"/>
        <s v="Bogotá"/>
        <s v="Ciudad De Mexico"/>
        <s v="Medellín"/>
        <s v="Guadalajara"/>
        <s v="Cali"/>
        <s v="Tulum"/>
      </sharedItems>
    </cacheField>
    <cacheField name="Categoría" numFmtId="0">
      <sharedItems>
        <s v="Tablet"/>
        <s v="Auriculares"/>
        <s v="Teléfono"/>
        <s v="Laptop"/>
      </sharedItems>
    </cacheField>
    <cacheField name="Tipo" numFmtId="0">
      <sharedItems>
        <s v="Estándar"/>
        <s v="Con cable"/>
        <s v="Gama alta"/>
        <s v="Pro"/>
        <s v="Oficina"/>
        <s v="Bluetooth"/>
        <s v="Ultraliviana"/>
        <s v="Mini"/>
        <s v="Gama media"/>
        <s v="Gaming"/>
        <s v="Gama baja"/>
        <s v="Cancelaci√≥n de ruido"/>
        <s v="Cancelación de ruido"/>
      </sharedItems>
    </cacheField>
    <cacheField name="Especificaciones" numFmtId="0">
      <sharedItems>
        <s v="8GB"/>
        <s v="32GB"/>
        <s v="16GB"/>
        <s v="4GB"/>
      </sharedItems>
    </cacheField>
    <cacheField name="Precio unitario" numFmtId="166">
      <sharedItems containsSemiMixedTypes="0" containsString="0" containsNumber="1">
        <n v="1339.17"/>
        <n v="716.29"/>
        <n v="439.01"/>
        <n v="741.79"/>
        <n v="984.34"/>
        <n v="2419.81"/>
        <n v="145.9"/>
        <n v="1086.48"/>
        <n v="1898.32"/>
        <n v="1280.61"/>
        <n v="1753.0"/>
        <n v="370.25"/>
        <n v="62.73"/>
        <n v="2314.37"/>
        <n v="2168.25"/>
        <n v="120.46"/>
        <n v="525.13"/>
        <n v="278.37"/>
        <n v="157.57"/>
        <n v="981.62"/>
        <n v="646.22"/>
        <n v="1848.98"/>
        <n v="1420.28"/>
        <n v="2208.12"/>
        <n v="591.94"/>
        <n v="1429.89"/>
        <n v="2085.29"/>
        <n v="724.28"/>
        <n v="1859.58"/>
        <n v="218.17"/>
        <n v="1375.85"/>
        <n v="421.59"/>
        <n v="2288.18"/>
        <n v="1699.32"/>
        <n v="1578.34"/>
        <n v="1445.1"/>
        <n v="1065.52"/>
        <n v="2095.66"/>
        <n v="2215.63"/>
        <n v="2395.85"/>
        <n v="883.61"/>
        <n v="1277.75"/>
        <n v="2182.77"/>
        <n v="1163.04"/>
        <n v="1664.18"/>
        <n v="992.68"/>
        <n v="284.79"/>
        <n v="362.17"/>
        <n v="1274.8"/>
        <n v="233.85"/>
        <n v="142.14"/>
        <n v="226.52"/>
        <n v="1922.79"/>
        <n v="2214.98"/>
        <n v="120.94"/>
        <n v="1950.45"/>
        <n v="2092.55"/>
        <n v="214.72"/>
        <n v="1291.39"/>
        <n v="970.38"/>
        <n v="2101.48"/>
        <n v="302.84"/>
        <n v="1421.57"/>
        <n v="1037.64"/>
        <n v="579.54"/>
        <n v="796.49"/>
        <n v="1838.04"/>
        <n v="1090.69"/>
        <n v="882.55"/>
        <n v="1909.2"/>
        <n v="2381.87"/>
        <n v="68.0"/>
        <n v="571.73"/>
        <n v="2009.75"/>
        <n v="2289.42"/>
        <n v="1414.97"/>
        <n v="2332.8"/>
        <n v="379.5"/>
        <n v="2020.01"/>
        <n v="428.56"/>
        <n v="1966.38"/>
        <n v="2242.47"/>
        <n v="1896.1"/>
        <n v="829.53"/>
        <n v="2377.34"/>
        <n v="1614.05"/>
        <n v="1805.81"/>
        <n v="1112.48"/>
        <n v="2264.15"/>
        <n v="833.39"/>
        <n v="2341.77"/>
        <n v="397.5"/>
        <n v="100.75"/>
        <n v="1268.91"/>
        <n v="903.41"/>
        <n v="259.75"/>
        <n v="798.65"/>
        <n v="1937.4"/>
        <n v="1866.74"/>
        <n v="1093.69"/>
        <n v="2063.13"/>
        <n v="1091.59"/>
        <n v="271.81"/>
        <n v="2392.27"/>
        <n v="2411.28"/>
        <n v="303.84"/>
        <n v="228.78"/>
        <n v="721.04"/>
        <n v="594.52"/>
        <n v="1612.96"/>
        <n v="169.21"/>
        <n v="709.65"/>
        <n v="1750.63"/>
        <n v="1564.96"/>
        <n v="1972.43"/>
        <n v="2431.8"/>
        <n v="904.01"/>
        <n v="700.55"/>
        <n v="1034.4"/>
        <n v="902.5"/>
        <n v="713.75"/>
        <n v="2484.74"/>
        <n v="2182.83"/>
        <n v="2329.03"/>
        <n v="130.05"/>
        <n v="1564.37"/>
        <n v="2317.94"/>
        <n v="722.95"/>
        <n v="242.27"/>
        <n v="1279.5"/>
        <n v="2299.22"/>
        <n v="1077.13"/>
        <n v="1956.0"/>
        <n v="2224.57"/>
        <n v="1840.11"/>
        <n v="2081.9"/>
        <n v="320.64"/>
        <n v="318.76"/>
        <n v="474.59"/>
        <n v="2430.43"/>
        <n v="270.83"/>
        <n v="121.68"/>
        <n v="392.86"/>
        <n v="1807.14"/>
        <n v="1604.02"/>
        <n v="72.75"/>
        <n v="1524.07"/>
        <n v="2392.65"/>
        <n v="1988.0"/>
        <n v="1703.47"/>
        <n v="205.25"/>
        <n v="1882.22"/>
        <n v="419.18"/>
        <n v="1511.08"/>
        <n v="1736.9"/>
        <n v="2240.54"/>
        <n v="1242.34"/>
        <n v="1657.62"/>
        <n v="499.22"/>
        <n v="348.21"/>
        <n v="324.46"/>
        <n v="796.3"/>
        <n v="1327.27"/>
        <n v="2384.86"/>
        <n v="379.64"/>
        <n v="1582.73"/>
        <n v="1362.97"/>
        <n v="1817.8"/>
        <n v="1962.79"/>
        <n v="785.65"/>
        <n v="747.11"/>
        <n v="1030.99"/>
        <n v="486.27"/>
        <n v="1518.43"/>
        <n v="2100.84"/>
        <n v="1261.22"/>
        <n v="2418.11"/>
        <n v="2499.77"/>
        <n v="1228.74"/>
        <n v="1901.74"/>
        <n v="743.39"/>
        <n v="2095.64"/>
        <n v="1062.11"/>
        <n v="1363.09"/>
        <n v="1468.39"/>
        <n v="1823.15"/>
        <n v="2242.64"/>
        <n v="1260.9"/>
        <n v="2382.64"/>
        <n v="919.0"/>
        <n v="1631.22"/>
        <n v="2101.18"/>
        <n v="1868.91"/>
        <n v="1898.24"/>
        <n v="611.99"/>
        <n v="403.48"/>
        <n v="174.28"/>
        <n v="273.42"/>
        <n v="1437.75"/>
        <n v="1092.45"/>
        <n v="832.37"/>
        <n v="755.38"/>
        <n v="1237.66"/>
        <n v="986.08"/>
        <n v="1984.42"/>
        <n v="1537.12"/>
        <n v="1832.39"/>
        <n v="1834.12"/>
        <n v="1779.34"/>
        <n v="2484.65"/>
        <n v="371.09"/>
        <n v="2493.45"/>
        <n v="1010.17"/>
        <n v="2472.61"/>
        <n v="1741.09"/>
        <n v="1290.52"/>
        <n v="1598.45"/>
        <n v="1156.44"/>
        <n v="288.29"/>
        <n v="1164.32"/>
        <n v="429.21"/>
        <n v="847.32"/>
        <n v="509.58"/>
        <n v="2248.35"/>
        <n v="2388.79"/>
        <n v="2343.81"/>
        <n v="140.58"/>
        <n v="1292.41"/>
        <n v="1099.54"/>
        <n v="2317.48"/>
        <n v="797.71"/>
        <n v="1861.0"/>
        <n v="201.31"/>
        <n v="1889.28"/>
        <n v="1451.3"/>
        <n v="2266.71"/>
        <n v="287.48"/>
        <n v="1758.16"/>
        <n v="273.01"/>
        <n v="434.9"/>
        <n v="719.59"/>
        <n v="1912.53"/>
        <n v="2196.83"/>
        <n v="1992.15"/>
        <n v="1291.38"/>
        <n v="1522.98"/>
        <n v="1688.92"/>
        <n v="2157.37"/>
        <n v="642.49"/>
        <n v="2114.2"/>
        <n v="1491.19"/>
        <n v="1849.07"/>
        <n v="1612.87"/>
        <n v="670.67"/>
        <n v="1040.78"/>
        <n v="1050.44"/>
        <n v="808.32"/>
        <n v="2092.87"/>
        <n v="1826.03"/>
        <n v="1945.67"/>
        <n v="949.27"/>
        <n v="127.95"/>
        <n v="371.34"/>
        <n v="700.01"/>
        <n v="2242.24"/>
        <n v="1912.83"/>
        <n v="634.44"/>
        <n v="1270.75"/>
        <n v="841.48"/>
        <n v="1656.59"/>
        <n v="762.46"/>
        <n v="1662.81"/>
        <n v="427.92"/>
        <n v="271.11"/>
        <n v="1112.81"/>
        <n v="720.63"/>
        <n v="1111.98"/>
        <n v="763.62"/>
        <n v="489.42"/>
        <n v="2356.5"/>
        <n v="56.71"/>
        <n v="853.52"/>
        <n v="1668.3"/>
        <n v="1585.75"/>
        <n v="229.33"/>
        <n v="596.93"/>
        <n v="1650.53"/>
        <n v="2114.99"/>
        <n v="169.2"/>
        <n v="1614.84"/>
        <n v="360.98"/>
        <n v="1447.41"/>
        <n v="1746.28"/>
        <n v="2390.84"/>
        <n v="1415.48"/>
        <n v="1384.09"/>
        <n v="1933.07"/>
        <n v="1492.73"/>
        <n v="1170.2"/>
        <n v="569.35"/>
        <n v="664.19"/>
        <n v="214.86"/>
        <n v="499.69"/>
        <n v="2442.23"/>
        <n v="2498.64"/>
        <n v="2333.72"/>
        <n v="100.98"/>
        <n v="2437.77"/>
        <n v="1281.78"/>
        <n v="2012.81"/>
        <n v="1673.73"/>
        <n v="1151.85"/>
        <n v="1032.0"/>
        <n v="1856.6"/>
        <n v="1383.94"/>
        <n v="812.41"/>
        <n v="424.12"/>
        <n v="1787.41"/>
        <n v="625.41"/>
        <n v="2393.92"/>
        <n v="724.54"/>
        <n v="1665.73"/>
        <n v="1373.32"/>
        <n v="1899.66"/>
        <n v="1873.69"/>
        <n v="181.51"/>
        <n v="1029.22"/>
        <n v="1177.91"/>
        <n v="1618.43"/>
        <n v="2064.2"/>
        <n v="1152.44"/>
        <n v="1051.49"/>
        <n v="446.49"/>
        <n v="879.78"/>
        <n v="1001.15"/>
        <n v="2224.61"/>
        <n v="563.11"/>
        <n v="1165.81"/>
        <n v="718.69"/>
        <n v="2474.36"/>
        <n v="1876.88"/>
        <n v="450.01"/>
        <n v="1808.18"/>
        <n v="914.84"/>
        <n v="210.37"/>
        <n v="1767.16"/>
        <n v="1832.97"/>
        <n v="1159.32"/>
        <n v="120.49"/>
        <n v="84.76"/>
        <n v="969.37"/>
        <n v="1318.47"/>
        <n v="1943.33"/>
        <n v="2040.92"/>
        <n v="1626.83"/>
        <n v="1137.01"/>
        <n v="1216.59"/>
        <n v="1141.88"/>
        <n v="416.81"/>
        <n v="347.49"/>
        <n v="1346.1"/>
        <n v="1101.82"/>
        <n v="1843.37"/>
        <n v="627.26"/>
        <n v="1375.44"/>
        <n v="1397.49"/>
        <n v="1203.93"/>
        <n v="1441.97"/>
        <n v="992.95"/>
        <n v="456.65"/>
        <n v="2405.31"/>
        <n v="793.37"/>
        <n v="2030.7"/>
        <n v="2127.13"/>
        <n v="2255.29"/>
        <n v="808.48"/>
        <n v="2142.82"/>
        <n v="219.68"/>
        <n v="2269.51"/>
        <n v="2002.21"/>
        <n v="877.11"/>
        <n v="304.68"/>
        <n v="1533.19"/>
        <n v="1141.13"/>
        <n v="890.76"/>
        <n v="1307.54"/>
        <n v="1178.53"/>
        <n v="1217.56"/>
        <n v="2191.24"/>
        <n v="276.58"/>
        <n v="2426.87"/>
        <n v="1077.1"/>
        <n v="920.68"/>
        <n v="1620.89"/>
        <n v="653.09"/>
        <n v="1057.56"/>
        <n v="1292.9"/>
        <n v="173.04"/>
        <n v="221.44"/>
        <n v="2185.04"/>
        <n v="2214.19"/>
        <n v="215.41"/>
        <n v="1097.51"/>
        <n v="1868.8"/>
        <n v="2371.6"/>
        <n v="1752.92"/>
        <n v="210.76"/>
        <n v="1145.32"/>
        <n v="1017.27"/>
        <n v="2246.65"/>
        <n v="269.57"/>
        <n v="2189.91"/>
        <n v="1130.03"/>
        <n v="1485.74"/>
        <n v="1570.12"/>
        <n v="2469.75"/>
        <n v="1738.96"/>
        <n v="1987.27"/>
        <n v="1640.14"/>
        <n v="2420.41"/>
        <n v="495.51"/>
        <n v="299.66"/>
        <n v="510.78"/>
        <n v="2399.53"/>
        <n v="2408.85"/>
        <n v="1944.02"/>
        <n v="1160.21"/>
        <n v="536.87"/>
        <n v="416.62"/>
        <n v="1175.45"/>
        <n v="1273.61"/>
        <n v="1402.66"/>
        <n v="197.09"/>
        <n v="2135.79"/>
        <n v="752.56"/>
        <n v="2198.02"/>
        <n v="342.64"/>
        <n v="1249.46"/>
        <n v="463.17"/>
        <n v="776.93"/>
        <n v="405.62"/>
        <n v="1659.54"/>
        <n v="1848.95"/>
        <n v="793.75"/>
        <n v="919.27"/>
        <n v="807.71"/>
        <n v="1768.49"/>
        <n v="2009.76"/>
        <n v="72.37"/>
        <n v="443.81"/>
        <n v="1628.77"/>
        <n v="1752.21"/>
        <n v="649.99"/>
        <n v="1768.85"/>
        <n v="103.69"/>
        <n v="2028.12"/>
        <n v="428.02"/>
        <n v="1880.14"/>
        <n v="1061.61"/>
        <n v="564.69"/>
        <n v="1847.8"/>
        <n v="2476.21"/>
        <n v="1155.26"/>
        <n v="1022.39"/>
        <n v="110.53"/>
        <n v="1453.6"/>
        <n v="2062.25"/>
        <n v="1083.45"/>
        <n v="2488.53"/>
        <n v="2068.34"/>
        <n v="1390.26"/>
        <n v="1438.41"/>
        <n v="2229.46"/>
        <n v="324.09"/>
        <n v="664.21"/>
        <n v="412.36"/>
        <n v="1247.08"/>
        <n v="252.24"/>
        <n v="1519.67"/>
        <n v="488.25"/>
        <n v="2210.34"/>
        <n v="1892.73"/>
        <n v="788.6"/>
        <n v="1219.75"/>
        <n v="2014.33"/>
        <n v="1804.11"/>
        <n v="764.41"/>
        <n v="1713.18"/>
        <n v="1160.86"/>
        <n v="2160.65"/>
        <n v="2297.62"/>
        <n v="1795.59"/>
        <n v="2087.73"/>
        <n v="1168.3"/>
        <n v="1654.16"/>
        <n v="563.92"/>
        <n v="684.7"/>
        <n v="1496.64"/>
        <n v="337.5"/>
        <n v="251.95"/>
        <n v="568.57"/>
        <n v="1491.36"/>
        <n v="1083.91"/>
        <n v="2254.91"/>
        <n v="1615.43"/>
        <n v="411.02"/>
        <n v="1109.64"/>
        <n v="2256.04"/>
        <n v="616.36"/>
        <n v="206.29"/>
        <n v="890.66"/>
        <n v="1208.42"/>
        <n v="2148.99"/>
        <n v="1560.05"/>
        <n v="1114.1"/>
        <n v="2261.15"/>
        <n v="157.89"/>
        <n v="2060.35"/>
        <n v="218.94"/>
        <n v="78.53"/>
        <n v="2294.28"/>
        <n v="90.89"/>
        <n v="1464.04"/>
        <n v="690.26"/>
        <n v="1902.94"/>
        <n v="2281.58"/>
        <n v="1019.3"/>
        <n v="1113.91"/>
        <n v="2246.48"/>
        <n v="496.1"/>
        <n v="1005.46"/>
        <n v="379.11"/>
        <n v="1742.12"/>
        <n v="1143.24"/>
        <n v="1955.27"/>
        <n v="1440.56"/>
        <n v="1636.89"/>
        <n v="979.2"/>
        <n v="1566.88"/>
        <n v="1397.7"/>
        <n v="155.7"/>
        <n v="166.45"/>
        <n v="1744.95"/>
        <n v="1865.55"/>
        <n v="787.78"/>
        <n v="1001.63"/>
        <n v="1708.81"/>
        <n v="1402.2"/>
        <n v="85.19"/>
        <n v="240.45"/>
        <n v="1284.54"/>
        <n v="974.06"/>
        <n v="1808.15"/>
        <n v="1969.69"/>
        <n v="2351.13"/>
        <n v="173.92"/>
        <n v="817.03"/>
        <n v="1332.48"/>
        <n v="273.29"/>
        <n v="782.8"/>
        <n v="1198.31"/>
        <n v="569.56"/>
        <n v="1672.13"/>
        <n v="1603.02"/>
        <n v="1076.71"/>
        <n v="1203.25"/>
        <n v="1247.13"/>
        <n v="153.47"/>
        <n v="834.63"/>
        <n v="1268.59"/>
        <n v="181.16"/>
        <n v="934.1"/>
        <n v="1566.36"/>
        <n v="288.64"/>
        <n v="1164.16"/>
        <n v="494.57"/>
        <n v="2145.76"/>
        <n v="2116.69"/>
        <n v="2312.52"/>
        <n v="516.02"/>
        <n v="177.74"/>
        <n v="2083.24"/>
        <n v="818.61"/>
        <n v="2389.97"/>
        <n v="997.09"/>
        <n v="1939.56"/>
        <n v="787.6"/>
        <n v="1710.52"/>
        <n v="817.31"/>
        <n v="101.1"/>
        <n v="303.05"/>
        <n v="806.78"/>
        <n v="741.53"/>
        <n v="1423.68"/>
        <n v="658.01"/>
        <n v="421.27"/>
        <n v="814.63"/>
        <n v="205.57"/>
        <n v="785.82"/>
        <n v="1220.85"/>
        <n v="2281.01"/>
        <n v="763.21"/>
        <n v="1711.88"/>
        <n v="1252.47"/>
        <n v="1119.17"/>
        <n v="842.36"/>
        <n v="1771.25"/>
        <n v="1865.58"/>
        <n v="1615.07"/>
        <n v="1627.59"/>
        <n v="1700.41"/>
        <n v="1035.07"/>
        <n v="771.57"/>
        <n v="1698.28"/>
        <n v="602.68"/>
        <n v="1096.28"/>
        <n v="2030.62"/>
        <n v="1405.61"/>
        <n v="564.58"/>
        <n v="2310.61"/>
        <n v="2425.55"/>
        <n v="944.98"/>
        <n v="1876.74"/>
        <n v="2031.79"/>
        <n v="1031.51"/>
        <n v="879.04"/>
        <n v="292.99"/>
        <n v="1575.85"/>
        <n v="720.31"/>
        <n v="2309.76"/>
        <n v="633.29"/>
        <n v="530.94"/>
        <n v="127.35"/>
        <n v="1008.28"/>
        <n v="1900.01"/>
        <n v="1254.96"/>
        <n v="432.18"/>
        <n v="2373.12"/>
        <n v="290.07"/>
        <n v="841.77"/>
        <n v="1501.95"/>
        <n v="769.01"/>
        <n v="1507.69"/>
        <n v="2086.91"/>
        <n v="1092.96"/>
        <n v="2114.97"/>
        <n v="2077.18"/>
        <n v="1547.71"/>
        <n v="1944.73"/>
        <n v="1459.53"/>
        <n v="1019.73"/>
        <n v="1670.11"/>
        <n v="2008.78"/>
        <n v="2461.26"/>
        <n v="2224.42"/>
        <n v="1979.07"/>
        <n v="1397.8"/>
        <n v="1636.65"/>
        <n v="2186.25"/>
        <n v="1567.55"/>
        <n v="1717.67"/>
        <n v="778.63"/>
        <n v="2251.92"/>
        <n v="1770.14"/>
        <n v="489.63"/>
        <n v="625.26"/>
        <n v="784.39"/>
        <n v="1719.53"/>
        <n v="861.73"/>
        <n v="988.8"/>
        <n v="1696.63"/>
        <n v="1663.22"/>
        <n v="1991.97"/>
        <n v="1918.04"/>
        <n v="2115.54"/>
        <n v="2174.89"/>
        <n v="1148.92"/>
        <n v="1247.53"/>
        <n v="758.87"/>
        <n v="2441.7"/>
        <n v="366.39"/>
        <n v="306.11"/>
        <n v="988.44"/>
        <n v="2003.92"/>
        <n v="519.68"/>
        <n v="920.71"/>
        <n v="1089.03"/>
        <n v="500.74"/>
        <n v="1047.88"/>
        <n v="228.56"/>
        <n v="1068.29"/>
        <n v="173.94"/>
        <n v="2271.98"/>
        <n v="2461.45"/>
        <n v="848.42"/>
        <n v="2334.37"/>
        <n v="648.35"/>
        <n v="1794.09"/>
        <n v="658.24"/>
        <n v="824.79"/>
        <n v="1056.48"/>
        <n v="932.02"/>
        <n v="2140.33"/>
        <n v="554.25"/>
        <n v="173.36"/>
        <n v="1935.15"/>
        <n v="1923.56"/>
        <n v="2263.78"/>
        <n v="1831.56"/>
        <n v="1191.71"/>
        <n v="314.84"/>
        <n v="1724.31"/>
        <n v="372.92"/>
        <n v="589.92"/>
        <n v="702.77"/>
        <n v="2261.12"/>
        <n v="1577.5"/>
        <n v="211.08"/>
        <n v="1061.9"/>
        <n v="1152.78"/>
        <n v="1793.94"/>
        <n v="2144.75"/>
        <n v="1642.37"/>
        <n v="158.82"/>
        <n v="1088.66"/>
        <n v="1456.46"/>
        <n v="2209.08"/>
        <n v="401.92"/>
        <n v="989.79"/>
        <n v="173.98"/>
        <n v="1006.61"/>
        <n v="2068.09"/>
        <n v="732.27"/>
        <n v="620.05"/>
        <n v="1331.81"/>
        <n v="714.18"/>
        <n v="792.6"/>
        <n v="1811.9"/>
        <n v="895.6"/>
        <n v="2064.92"/>
        <n v="2149.59"/>
        <n v="619.4"/>
        <n v="2086.06"/>
        <n v="2019.54"/>
        <n v="823.08"/>
        <n v="1721.22"/>
        <n v="134.89"/>
        <n v="1545.28"/>
        <n v="807.96"/>
      </sharedItems>
    </cacheField>
    <cacheField name="Cantidad" numFmtId="0">
      <sharedItems containsSemiMixedTypes="0" containsString="0" containsNumber="1" containsInteger="1">
        <n v="2.0"/>
        <n v="1.0"/>
        <n v="5.0"/>
        <n v="3.0"/>
        <n v="4.0"/>
      </sharedItems>
    </cacheField>
    <cacheField name="Monto total" numFmtId="166">
      <sharedItems containsSemiMixedTypes="0" containsString="0" containsNumber="1">
        <n v="2678.34"/>
        <n v="716.29"/>
        <n v="2195.05"/>
        <n v="1483.58"/>
        <n v="2953.02"/>
        <n v="12099.05"/>
        <n v="729.5"/>
        <n v="1086.48"/>
        <n v="7593.28"/>
        <n v="6403.05"/>
        <n v="8765.0"/>
        <n v="1481.0"/>
        <n v="188.19"/>
        <n v="11571.85"/>
        <n v="6504.75"/>
        <n v="120.46"/>
        <n v="1050.26"/>
        <n v="835.11"/>
        <n v="315.14"/>
        <n v="4908.1"/>
        <n v="1292.44"/>
        <n v="5546.94"/>
        <n v="5681.12"/>
        <n v="4416.24"/>
        <n v="1183.88"/>
        <n v="5719.56"/>
        <n v="2085.29"/>
        <n v="2172.84"/>
        <n v="5578.74"/>
        <n v="872.68"/>
        <n v="1375.85"/>
        <n v="843.18"/>
        <n v="2288.18"/>
        <n v="6797.28"/>
        <n v="4735.02"/>
        <n v="5780.4"/>
        <n v="2131.04"/>
        <n v="10478.3"/>
        <n v="6646.89"/>
        <n v="9583.4"/>
        <n v="1767.22"/>
        <n v="1277.75"/>
        <n v="6548.31"/>
        <n v="1163.04"/>
        <n v="4992.54"/>
        <n v="4963.4"/>
        <n v="1423.95"/>
        <n v="1086.51"/>
        <n v="6374.0"/>
        <n v="935.4"/>
        <n v="426.42"/>
        <n v="453.04"/>
        <n v="5768.37"/>
        <n v="4429.96"/>
        <n v="362.82"/>
        <n v="7801.8"/>
        <n v="10462.75"/>
        <n v="644.16"/>
        <n v="3874.17"/>
        <n v="4851.9"/>
        <n v="4202.96"/>
        <n v="908.52"/>
        <n v="5686.28"/>
        <n v="3112.92"/>
        <n v="1738.62"/>
        <n v="2389.47"/>
        <n v="7352.16"/>
        <n v="1090.69"/>
        <n v="4412.75"/>
        <n v="5727.6"/>
        <n v="2381.87"/>
        <n v="204.0"/>
        <n v="2286.92"/>
        <n v="4019.5"/>
        <n v="9157.68"/>
        <n v="1414.97"/>
        <n v="2332.8"/>
        <n v="1518.0"/>
        <n v="10100.05"/>
        <n v="428.56"/>
        <n v="9831.9"/>
        <n v="8969.88"/>
        <n v="3792.2"/>
        <n v="3318.12"/>
        <n v="4754.68"/>
        <n v="1614.05"/>
        <n v="5417.43"/>
        <n v="2224.96"/>
        <n v="11320.75"/>
        <n v="833.39"/>
        <n v="11708.85"/>
        <n v="795.0"/>
        <n v="100.75"/>
        <n v="2537.82"/>
        <n v="2710.23"/>
        <n v="1039.0"/>
        <n v="798.65"/>
        <n v="3874.8"/>
        <n v="7466.96"/>
        <n v="1093.69"/>
        <n v="8252.52"/>
        <n v="5457.95"/>
        <n v="543.62"/>
        <n v="9569.08"/>
        <n v="9645.12"/>
        <n v="303.84"/>
        <n v="228.78"/>
        <n v="2884.16"/>
        <n v="1189.04"/>
        <n v="1612.96"/>
        <n v="507.63"/>
        <n v="2128.95"/>
        <n v="8753.15"/>
        <n v="6259.84"/>
        <n v="9862.15"/>
        <n v="4863.6"/>
        <n v="904.01"/>
        <n v="3502.75"/>
        <n v="1034.4"/>
        <n v="2707.5"/>
        <n v="2141.25"/>
        <n v="12423.7"/>
        <n v="8731.32"/>
        <n v="9316.12"/>
        <n v="130.05"/>
        <n v="1564.37"/>
        <n v="9271.76"/>
        <n v="2168.85"/>
        <n v="242.27"/>
        <n v="2559.0"/>
        <n v="11496.1"/>
        <n v="5385.65"/>
        <n v="9780.0"/>
        <n v="11122.85"/>
        <n v="1840.11"/>
        <n v="2081.9"/>
        <n v="1603.2"/>
        <n v="956.28"/>
        <n v="1898.36"/>
        <n v="12152.15"/>
        <n v="812.49"/>
        <n v="243.36"/>
        <n v="785.72"/>
        <n v="9035.7"/>
        <n v="8020.1"/>
        <n v="218.25"/>
        <n v="1524.07"/>
        <n v="9570.6"/>
        <n v="3976.0"/>
        <n v="3406.94"/>
        <n v="615.75"/>
        <n v="5646.66"/>
        <n v="1676.72"/>
        <n v="3022.16"/>
        <n v="8684.5"/>
        <n v="4481.08"/>
        <n v="6211.7"/>
        <n v="6630.48"/>
        <n v="1497.66"/>
        <n v="1741.05"/>
        <n v="648.92"/>
        <n v="3185.2"/>
        <n v="2654.54"/>
        <n v="9539.44"/>
        <n v="1138.92"/>
        <n v="3165.46"/>
        <n v="1362.97"/>
        <n v="5453.4"/>
        <n v="5888.37"/>
        <n v="785.65"/>
        <n v="3735.55"/>
        <n v="1030.99"/>
        <n v="2431.35"/>
        <n v="7592.15"/>
        <n v="10504.2"/>
        <n v="2522.44"/>
        <n v="2418.11"/>
        <n v="7499.31"/>
        <n v="2457.48"/>
        <n v="7606.96"/>
        <n v="3716.95"/>
        <n v="10478.2"/>
        <n v="2124.22"/>
        <n v="6815.45"/>
        <n v="1468.39"/>
        <n v="9115.75"/>
        <n v="8970.56"/>
        <n v="3782.7"/>
        <n v="9530.56"/>
        <n v="4595.0"/>
        <n v="8156.1"/>
        <n v="8404.72"/>
        <n v="9344.55"/>
        <n v="1898.24"/>
        <n v="1223.98"/>
        <n v="806.96"/>
        <n v="2897.12"/>
        <n v="174.28"/>
        <n v="1093.68"/>
        <n v="7188.75"/>
        <n v="3277.35"/>
        <n v="701.55"/>
        <n v="1664.74"/>
        <n v="3021.52"/>
        <n v="1237.66"/>
        <n v="3944.32"/>
        <n v="7937.68"/>
        <n v="3074.24"/>
        <n v="7329.56"/>
        <n v="1834.12"/>
        <n v="5338.02"/>
        <n v="4969.3"/>
        <n v="1484.36"/>
        <n v="4986.9"/>
        <n v="1010.17"/>
        <n v="12363.05"/>
        <n v="6964.36"/>
        <n v="3871.56"/>
        <n v="4795.35"/>
        <n v="1156.44"/>
        <n v="864.87"/>
        <n v="3492.96"/>
        <n v="2146.05"/>
        <n v="4236.6"/>
        <n v="1528.74"/>
        <n v="11241.75"/>
        <n v="4777.58"/>
        <n v="9375.24"/>
        <n v="421.74"/>
        <n v="6462.05"/>
        <n v="2199.08"/>
        <n v="2317.48"/>
        <n v="797.71"/>
        <n v="9305.0"/>
        <n v="1006.55"/>
        <n v="7557.12"/>
        <n v="2902.6"/>
        <n v="4533.42"/>
        <n v="1149.92"/>
        <n v="8790.8"/>
        <n v="273.01"/>
        <n v="434.9"/>
        <n v="2158.77"/>
        <n v="1912.53"/>
        <n v="10984.15"/>
        <n v="3984.3"/>
        <n v="5165.52"/>
        <n v="1522.98"/>
        <n v="8444.6"/>
        <n v="10786.85"/>
        <n v="2569.96"/>
        <n v="10571.0"/>
        <n v="7455.95"/>
        <n v="9245.35"/>
        <n v="6451.48"/>
        <n v="2682.68"/>
        <n v="2081.56"/>
        <n v="5252.2"/>
        <n v="3233.28"/>
        <n v="8371.48"/>
        <n v="3652.06"/>
        <n v="7782.68"/>
        <n v="1898.54"/>
        <n v="511.8"/>
        <n v="1114.02"/>
        <n v="2100.03"/>
        <n v="2242.24"/>
        <n v="3825.66"/>
        <n v="2537.76"/>
        <n v="6353.75"/>
        <n v="1682.96"/>
        <n v="1656.59"/>
        <n v="762.46"/>
        <n v="8314.05"/>
        <n v="855.84"/>
        <n v="542.22"/>
        <n v="1112.81"/>
        <n v="720.63"/>
        <n v="4447.92"/>
        <n v="763.62"/>
        <n v="1468.26"/>
        <n v="11782.5"/>
        <n v="56.71"/>
        <n v="4267.6"/>
        <n v="3336.6"/>
        <n v="7928.75"/>
        <n v="917.32"/>
        <n v="2984.65"/>
        <n v="1650.53"/>
        <n v="2114.99"/>
        <n v="507.6"/>
        <n v="4844.52"/>
        <n v="1082.94"/>
        <n v="5789.64"/>
        <n v="3492.56"/>
        <n v="11954.2"/>
        <n v="1415.48"/>
        <n v="2768.18"/>
        <n v="5799.21"/>
        <n v="7463.65"/>
        <n v="1170.2"/>
        <n v="2277.4"/>
        <n v="2656.76"/>
        <n v="1074.3"/>
        <n v="499.69"/>
        <n v="9768.92"/>
        <n v="4997.28"/>
        <n v="4667.44"/>
        <n v="302.94"/>
        <n v="4875.54"/>
        <n v="3845.34"/>
        <n v="8051.24"/>
        <n v="1673.73"/>
        <n v="5759.25"/>
        <n v="4128.0"/>
        <n v="3713.2"/>
        <n v="4151.82"/>
        <n v="4062.05"/>
        <n v="848.24"/>
        <n v="1787.41"/>
        <n v="1250.82"/>
        <n v="7181.76"/>
        <n v="3622.7"/>
        <n v="3331.46"/>
        <n v="1373.32"/>
        <n v="3799.32"/>
        <n v="3747.38"/>
        <n v="907.55"/>
        <n v="5146.1"/>
        <n v="2355.82"/>
        <n v="4855.29"/>
        <n v="2064.2"/>
        <n v="5762.2"/>
        <n v="3154.47"/>
        <n v="1339.47"/>
        <n v="879.78"/>
        <n v="4004.6"/>
        <n v="8898.44"/>
        <n v="563.11"/>
        <n v="1165.81"/>
        <n v="2874.76"/>
        <n v="4948.72"/>
        <n v="7507.52"/>
        <n v="1800.04"/>
        <n v="9040.9"/>
        <n v="3659.36"/>
        <n v="210.37"/>
        <n v="1767.16"/>
        <n v="3665.94"/>
        <n v="5796.6"/>
        <n v="361.47"/>
        <n v="339.04"/>
        <n v="2908.11"/>
        <n v="1318.47"/>
        <n v="1943.33"/>
        <n v="2040.92"/>
        <n v="1626.83"/>
        <n v="3411.03"/>
        <n v="3649.77"/>
        <n v="5709.4"/>
        <n v="833.62"/>
        <n v="1737.45"/>
        <n v="1346.1"/>
        <n v="5509.1"/>
        <n v="5530.11"/>
        <n v="627.26"/>
        <n v="5501.76"/>
        <n v="4192.47"/>
        <n v="4815.72"/>
        <n v="4325.91"/>
        <n v="2978.85"/>
        <n v="913.3"/>
        <n v="12026.55"/>
        <n v="1586.74"/>
        <n v="4061.4"/>
        <n v="2127.13"/>
        <n v="6765.87"/>
        <n v="3233.92"/>
        <n v="4285.64"/>
        <n v="878.72"/>
        <n v="6808.53"/>
        <n v="6006.63"/>
        <n v="877.11"/>
        <n v="1523.4"/>
        <n v="6132.76"/>
        <n v="3423.39"/>
        <n v="1781.52"/>
        <n v="1307.54"/>
        <n v="2357.06"/>
        <n v="3652.68"/>
        <n v="10956.2"/>
        <n v="276.58"/>
        <n v="12134.35"/>
        <n v="5385.5"/>
        <n v="2762.04"/>
        <n v="4862.67"/>
        <n v="2612.36"/>
        <n v="5287.8"/>
        <n v="2585.8"/>
        <n v="346.08"/>
        <n v="664.32"/>
        <n v="8740.16"/>
        <n v="4428.38"/>
        <n v="215.41"/>
        <n v="1097.51"/>
        <n v="3737.6"/>
        <n v="4743.2"/>
        <n v="1752.92"/>
        <n v="1053.8"/>
        <n v="1145.32"/>
        <n v="1017.27"/>
        <n v="4493.3"/>
        <n v="1347.85"/>
        <n v="6569.73"/>
        <n v="5650.15"/>
        <n v="4457.22"/>
        <n v="4710.36"/>
        <n v="7409.25"/>
        <n v="6955.84"/>
        <n v="5961.81"/>
        <n v="8200.7"/>
        <n v="4840.82"/>
        <n v="991.02"/>
        <n v="898.98"/>
        <n v="1532.34"/>
        <n v="7198.59"/>
        <n v="9635.4"/>
        <n v="1944.02"/>
        <n v="2320.42"/>
        <n v="536.87"/>
        <n v="2083.1"/>
        <n v="5877.25"/>
        <n v="5094.44"/>
        <n v="7013.3"/>
        <n v="591.27"/>
        <n v="2135.79"/>
        <n v="1505.12"/>
        <n v="2198.02"/>
        <n v="685.28"/>
        <n v="1249.46"/>
        <n v="1389.51"/>
        <n v="776.93"/>
        <n v="1622.48"/>
        <n v="4978.62"/>
        <n v="5546.85"/>
        <n v="793.75"/>
        <n v="1838.54"/>
        <n v="2423.13"/>
        <n v="3536.98"/>
        <n v="2009.76"/>
        <n v="289.48"/>
        <n v="443.81"/>
        <n v="6515.08"/>
        <n v="7008.84"/>
        <n v="1299.98"/>
        <n v="8844.25"/>
        <n v="518.45"/>
        <n v="10140.6"/>
        <n v="1284.06"/>
        <n v="1880.14"/>
        <n v="1061.61"/>
        <n v="1129.38"/>
        <n v="5543.4"/>
        <n v="12381.05"/>
        <n v="4621.04"/>
        <n v="2044.78"/>
        <n v="552.65"/>
        <n v="5814.4"/>
        <n v="6186.75"/>
        <n v="5417.25"/>
        <n v="2488.53"/>
        <n v="4136.68"/>
        <n v="1390.26"/>
        <n v="5753.64"/>
        <n v="6688.38"/>
        <n v="648.18"/>
        <n v="664.21"/>
        <n v="1649.44"/>
        <n v="1247.08"/>
        <n v="1261.2"/>
        <n v="6078.68"/>
        <n v="2441.25"/>
        <n v="6631.02"/>
        <n v="9463.65"/>
        <n v="3154.4"/>
        <n v="2439.5"/>
        <n v="8057.32"/>
        <n v="7216.44"/>
        <n v="2293.23"/>
        <n v="3426.36"/>
        <n v="4643.44"/>
        <n v="6481.95"/>
        <n v="9190.48"/>
        <n v="8977.95"/>
        <n v="2087.73"/>
        <n v="3504.9"/>
        <n v="1654.16"/>
        <n v="1127.84"/>
        <n v="3423.5"/>
        <n v="2993.28"/>
        <n v="1687.5"/>
        <n v="1259.75"/>
        <n v="1705.71"/>
        <n v="2982.72"/>
        <n v="3251.73"/>
        <n v="9019.64"/>
        <n v="8077.15"/>
        <n v="411.02"/>
        <n v="3328.92"/>
        <n v="11280.2"/>
        <n v="2465.44"/>
        <n v="825.16"/>
        <n v="890.66"/>
        <n v="3625.26"/>
        <n v="10744.95"/>
        <n v="1560.05"/>
        <n v="3342.3"/>
        <n v="2261.15"/>
        <n v="157.89"/>
        <n v="6181.05"/>
        <n v="656.82"/>
        <n v="157.06"/>
        <n v="2294.28"/>
        <n v="90.89"/>
        <n v="5856.16"/>
        <n v="2761.04"/>
        <n v="7611.76"/>
        <n v="2281.58"/>
        <n v="4077.2"/>
        <n v="2227.82"/>
        <n v="2246.48"/>
        <n v="1488.3"/>
        <n v="5027.3"/>
        <n v="379.11"/>
        <n v="6968.48"/>
        <n v="2286.48"/>
        <n v="1955.27"/>
        <n v="1440.56"/>
        <n v="3273.78"/>
        <n v="4896.0"/>
        <n v="4700.64"/>
        <n v="4193.1"/>
        <n v="778.5"/>
        <n v="832.25"/>
        <n v="3489.9"/>
        <n v="3731.1"/>
        <n v="2363.34"/>
        <n v="3004.89"/>
        <n v="1708.81"/>
        <n v="7011.0"/>
        <n v="85.19"/>
        <n v="961.8"/>
        <n v="3853.62"/>
        <n v="4870.3"/>
        <n v="3616.3"/>
        <n v="7878.76"/>
        <n v="2351.13"/>
        <n v="521.76"/>
        <n v="1634.06"/>
        <n v="6662.4"/>
        <n v="1366.45"/>
        <n v="1565.6"/>
        <n v="3594.93"/>
        <n v="2278.24"/>
        <n v="6688.52"/>
        <n v="6412.08"/>
        <n v="3230.13"/>
        <n v="4813.0"/>
        <n v="6235.65"/>
        <n v="460.41"/>
        <n v="3338.52"/>
        <n v="5074.36"/>
        <n v="724.64"/>
        <n v="1868.2"/>
        <n v="7831.8"/>
        <n v="288.64"/>
        <n v="4656.64"/>
        <n v="494.57"/>
        <n v="10728.8"/>
        <n v="4233.38"/>
        <n v="2312.52"/>
        <n v="2064.08"/>
        <n v="710.96"/>
        <n v="2083.24"/>
        <n v="2455.83"/>
        <n v="7169.91"/>
        <n v="1994.18"/>
        <n v="9697.8"/>
        <n v="787.6"/>
        <n v="3421.04"/>
        <n v="1634.62"/>
        <n v="303.3"/>
        <n v="303.05"/>
        <n v="806.78"/>
        <n v="2224.59"/>
        <n v="1423.68"/>
        <n v="3290.05"/>
        <n v="1685.08"/>
        <n v="814.63"/>
        <n v="1027.85"/>
        <n v="1571.64"/>
        <n v="1220.85"/>
        <n v="9124.04"/>
        <n v="3816.05"/>
        <n v="3423.76"/>
        <n v="6262.35"/>
        <n v="5595.85"/>
        <n v="4211.8"/>
        <n v="7085.0"/>
        <n v="3731.16"/>
        <n v="4845.21"/>
        <n v="1627.59"/>
        <n v="6801.64"/>
        <n v="1035.07"/>
        <n v="3857.85"/>
        <n v="5094.84"/>
        <n v="1808.04"/>
        <n v="3288.84"/>
        <n v="4061.24"/>
        <n v="7028.05"/>
        <n v="2258.32"/>
        <n v="6931.83"/>
        <n v="7276.65"/>
        <n v="944.98"/>
        <n v="5630.22"/>
        <n v="10158.95"/>
        <n v="1031.51"/>
        <n v="1758.08"/>
        <n v="292.99"/>
        <n v="3151.7"/>
        <n v="2160.93"/>
        <n v="11548.8"/>
        <n v="633.29"/>
        <n v="2654.7"/>
        <n v="127.35"/>
        <n v="5041.4"/>
        <n v="9500.05"/>
        <n v="1254.96"/>
        <n v="432.18"/>
        <n v="4746.24"/>
        <n v="1160.28"/>
        <n v="841.77"/>
        <n v="3003.9"/>
        <n v="3845.05"/>
        <n v="7538.45"/>
        <n v="10434.55"/>
        <n v="4371.84"/>
        <n v="2114.97"/>
        <n v="8308.72"/>
        <n v="7738.55"/>
        <n v="7778.92"/>
        <n v="1459.53"/>
        <n v="2039.46"/>
        <n v="5010.33"/>
        <n v="10043.9"/>
        <n v="7383.78"/>
        <n v="8897.68"/>
        <n v="1979.07"/>
        <n v="2795.6"/>
        <n v="3273.3"/>
        <n v="10931.25"/>
        <n v="4702.65"/>
        <n v="6870.68"/>
        <n v="778.63"/>
        <n v="11259.6"/>
        <n v="1770.14"/>
        <n v="489.63"/>
        <n v="3126.3"/>
        <n v="784.39"/>
        <n v="3439.06"/>
        <n v="4308.65"/>
        <n v="4944.0"/>
        <n v="6786.52"/>
        <n v="8316.1"/>
        <n v="5975.91"/>
        <n v="9590.2"/>
        <n v="10577.7"/>
        <n v="12348.75"/>
        <n v="4349.78"/>
        <n v="4595.68"/>
        <n v="4990.12"/>
        <n v="2276.61"/>
        <n v="4883.4"/>
        <n v="1465.56"/>
        <n v="612.22"/>
        <n v="1976.88"/>
        <n v="4007.84"/>
        <n v="2598.4"/>
        <n v="3682.84"/>
        <n v="5445.15"/>
        <n v="2002.96"/>
        <n v="3143.64"/>
        <n v="685.68"/>
        <n v="4273.16"/>
        <n v="869.7"/>
        <n v="11359.9"/>
        <n v="9845.8"/>
        <n v="2545.26"/>
        <n v="2334.37"/>
        <n v="3241.75"/>
        <n v="8970.45"/>
        <n v="1974.72"/>
        <n v="3299.16"/>
        <n v="4225.92"/>
        <n v="3728.08"/>
        <n v="10701.65"/>
        <n v="554.25"/>
        <n v="346.72"/>
        <n v="5805.45"/>
        <n v="7694.24"/>
        <n v="11318.9"/>
        <n v="3663.12"/>
        <n v="4766.84"/>
        <n v="314.84"/>
        <n v="3448.62"/>
        <n v="1118.76"/>
        <n v="1769.76"/>
        <n v="2108.31"/>
        <n v="9044.48"/>
        <n v="6310.0"/>
        <n v="844.32"/>
        <n v="4247.6"/>
        <n v="4611.12"/>
        <n v="5381.82"/>
        <n v="2144.75"/>
        <n v="4927.11"/>
        <n v="317.64"/>
        <n v="4354.64"/>
        <n v="5825.84"/>
        <n v="4418.16"/>
        <n v="1205.76"/>
        <n v="4948.95"/>
        <n v="695.92"/>
        <n v="4026.44"/>
        <n v="4136.18"/>
        <n v="2929.08"/>
        <n v="3100.25"/>
        <n v="3995.43"/>
        <n v="2856.72"/>
        <n v="3963.0"/>
        <n v="1811.9"/>
        <n v="2686.8"/>
        <n v="6194.76"/>
        <n v="8598.36"/>
        <n v="619.4"/>
        <n v="2086.06"/>
        <n v="6058.62"/>
        <n v="3292.32"/>
        <n v="6884.88"/>
        <n v="674.45"/>
        <n v="3090.56"/>
        <n v="1615.92"/>
      </sharedItems>
    </cacheField>
    <cacheField name="Cliente" numFmtId="0">
      <sharedItems>
        <s v="Rebeca Salvador Gamez García"/>
        <s v="Evelio Ramiro Arce"/>
        <s v="Sandra Baez"/>
        <s v="Uriel Helena Caldera"/>
        <s v="Wendolin Jeronimo Farías"/>
        <s v="Esteban Ureña"/>
        <s v="Aida Ojeda Galindo"/>
        <s v="Cristal Luis Manuel Sanchez"/>
        <s v="Daniela Padron"/>
        <s v="Lic. Elena Zepeda"/>
        <s v="Cristal Rincon"/>
        <s v="Francisca Lucas Jaimes Zavala"/>
        <s v="Elisa Soria"/>
        <s v="Rosalia Alcantar"/>
        <s v="Fernando Marquez Almaraz"/>
        <s v="Indira Guadalupe Montez Alcaraz"/>
        <s v="Ing. María José Noriega"/>
        <s v="Mtro. César Verduzco"/>
        <s v="Ernesto Rendon"/>
        <s v="Julio César Fernando Cordero"/>
        <s v="Augusto Oswaldo Arce Guardado"/>
        <s v="Maximiliano Omar Brito Vega"/>
        <s v="Alejandra Najera Miramontes"/>
        <s v="Benjamín Marcela Lucero"/>
        <s v="Eloy Godoy del Río"/>
        <s v="Luis Manuel Ilse Apodaca"/>
        <s v="Eugenio Juana Orta Chapa"/>
        <s v="Octavio Briseño Corrales"/>
        <s v="Patricio Puga"/>
        <s v="Antonio Adriana Razo"/>
        <s v="Isabel Maya"/>
        <s v="Lic. Carlota Ontiveros"/>
        <s v="Itzel Puente Téllez"/>
        <s v="Daniela Uribe"/>
        <s v="Gustavo Berta Aragon"/>
        <s v="Lorenzo Wendolin Méndez Gollum"/>
        <s v="Serafín Samuel Tamayo Baez"/>
        <s v="Irene Domínguez"/>
        <s v="María Cristina Valdivia Mondragon"/>
        <s v="Diego Fernandez"/>
        <s v="Dolores Jesús Quiñonez Lebron"/>
        <s v="Karina Jeronimo Pérez Mojica"/>
        <s v="Octavio Isabela Barraza"/>
        <s v="Mariano Fuentes Esquibel"/>
        <s v="Asuncion Samaniego"/>
        <s v="Marcela Paez"/>
        <s v="Alta  Gracia Alicia Guzman"/>
        <s v="Rodrigo Vanegas Serna"/>
        <s v="Luis Camila Guardado"/>
        <s v="Mtro. Rafaél Najera"/>
        <s v="Clemente Lucas de la Crúz Florez"/>
        <s v="Ing. Cecilia Gurule"/>
        <s v="Elias Juan Carlos Estévez Cepeda"/>
        <s v="Alta  Gracia Marrero Ocasio"/>
        <s v="Esmeralda Bañuelos"/>
        <s v="Angélica Bueno Olvera"/>
        <s v="Roberto Casarez Lozada"/>
        <s v="Dr. Pedro Zapata"/>
        <s v="Mtro. Salma de la Garza"/>
        <s v="Tania Soto Nieves"/>
        <s v="Leticia Luevano Mayorga"/>
        <s v="Lic. Leonel Orosco"/>
        <s v="Hernan Anguiano"/>
        <s v="Dr. Yolanda Miranda"/>
        <s v="Ing. Judith Ayala"/>
        <s v="Carmen Rufino Téllez Benavides"/>
        <s v="Wendolin Fonseca"/>
        <s v="Mariano Leticia Palomino"/>
        <s v="Veronica Wendolin Teran"/>
        <s v="Sandra Marisol Vergara"/>
        <s v="Sr(a). Julio César Collazo"/>
        <s v="Mariana Jeronimo Partida Tejeda"/>
        <s v="Alma Galvan"/>
        <s v="Lic. Santiago Montenegro"/>
        <s v="Jorge Sepúlveda"/>
        <s v="Fernando Almanza Duran"/>
        <s v="Sr(a). Camilo Partida"/>
        <s v="Ing. Ilse Ocasio"/>
        <s v="José Manuél Indira Ledesma Treviño"/>
        <s v="Vanesa José Santana"/>
        <s v="Eloisa Orta"/>
        <s v="Cristal Andrés Gomez"/>
        <s v="Elena Ballesteros"/>
        <s v="Rocío Villareal"/>
        <s v="Natividad Armenta Espino"/>
        <s v="Aurora Esteban Sisneros Centeno"/>
        <s v="Lic. Abraham Guillen"/>
        <s v="Sr(a). Aurelio Lemus"/>
        <s v="Abel Emilio Robledo"/>
        <s v="Mtro. Estela Villanueva"/>
        <s v="Enrique Crespo Alvarez"/>
        <s v="Víctor Jaramillo"/>
        <s v="Asuncion Badillo"/>
        <s v="Rosalia Florencia Contreras"/>
        <s v="Diego Armando Portillo"/>
        <s v="Dr. Diana Olivas"/>
        <s v="Rufino Lucero Urrutia"/>
        <s v="Fabiola Angélica Bravo"/>
        <s v="Lourdes Godoy Niño"/>
        <s v="Guillermina Carbajal"/>
        <s v="Leonardo José Luis Manzanares Trujillo"/>
        <s v="Abel Leticia Calderon Gallegos"/>
        <s v="Mauricio Pamela Villegas"/>
        <s v="Josefina Zarate"/>
        <s v="Olga Castillo Longoria"/>
        <s v="Sr(a). Luis Manuel Arriaga"/>
        <s v="Antonio Jesús Vallejo Bravo"/>
        <s v="René Rafaél Rocha"/>
        <s v="Rodrigo Aldonza Polanco"/>
        <s v="José Luis Alarcon"/>
        <s v="Hermelinda Clemente Sisneros"/>
        <s v="Javier Ofelia Quintanilla Villa"/>
        <s v="Rufino Amador Ochoa"/>
        <s v="Cristina Esteban Quintero"/>
        <s v="Estefanía Modesto Lebron Figueroa"/>
        <s v="Carlos Esteban Nieves Zarate"/>
        <s v="Sr(a). David Preciado"/>
        <s v="Bianca Ávalos Cantú"/>
        <s v="Veronica Jurado Gonzales"/>
        <s v="Dr. Estefanía Piña"/>
        <s v="Alfredo Cintron"/>
        <s v="Daniel Campos"/>
        <s v="Olivia Zavala"/>
        <s v="Estela Zamora Téllez"/>
        <s v="Eric Amador Santiago"/>
        <s v="Vanesa Valverde Gaona"/>
        <s v="Lic. Alfredo Florez"/>
        <s v="Alejandro Hermelinda Mondragon Alvarado"/>
        <s v="Ing. Guadalupe Borrego"/>
        <s v="Carmen Macías"/>
        <s v="Sr(a). Manuel Torrez"/>
        <s v="Minerva Lorena Santana Botello"/>
        <s v="Nadia Fernando Guerra Arroyo"/>
        <s v="Abraham Loera Mondragon"/>
        <s v="Mtro. Bianca Mayorga"/>
        <s v="Esperanza Victoria Rendon"/>
        <s v="Agustín Esparza"/>
        <s v="Guillermina Bañuelos Varela"/>
        <s v="Alejandro Tomas Arellano"/>
        <s v="Ana Perla Zavala Laboy"/>
        <s v="Sr(a). Ricardo Velasco"/>
        <s v="Abril Julio Torrez Segovia"/>
        <s v="Bruno Samuel Acosta Rascon"/>
        <s v="Octavio Santacruz Lucero"/>
        <s v="Alma Mondragon Elizondo"/>
        <s v="Omar Irene Corral"/>
        <s v="Abelardo Héctor Brito Solorzano"/>
        <s v="Julia Gonzalo Armendariz"/>
        <s v="Indira Eric Rentería Velazquez"/>
        <s v="César Burgos Florez"/>
        <s v="Juan Lopez"/>
        <s v="Omar Carla Miranda"/>
        <s v="Virginia Irma Rolon Arteaga"/>
        <s v="Pedro Tamayo"/>
        <s v="Amanda Cantú Segura"/>
        <s v="Mtro. Flavio Teran"/>
        <s v="Andrés Brito"/>
        <s v="César Barrera Orta"/>
        <s v="Jacobo Adan Aparicio Tejada"/>
        <s v="César Fabiola Palacios"/>
        <s v="Patricio Narvaez Holguín"/>
        <s v="Israel Barragan"/>
        <s v="Ing. Elsa Prieto"/>
        <s v="Bianca Abel Valentín Alarcon"/>
        <s v="Emiliano Liliana Olivares Bañuelos"/>
        <s v="Marcos Adriana Orosco Bétancourt"/>
        <s v="Aldo Lira"/>
        <s v="Delia Wilfrido Valladares Tapia"/>
        <s v="Evelio Holguín Galarza"/>
        <s v="Gonzalo Cortés Nieto"/>
        <s v="Tania José Salcedo"/>
        <s v="Ignacio Leonor Guajardo"/>
        <s v="Ing. Vanesa Bustos"/>
        <s v="Órsula Guardado"/>
        <s v="Esperanza Domínguez"/>
        <s v="Sr(a). Carlota Torrez"/>
        <s v="Lilia Bétancourt Parra"/>
        <s v="Luisa Gilberto Trujillo"/>
        <s v="María Cristina Rebeca Quiñones Davila"/>
        <s v="Dalia María Cristina Robledo Escobar"/>
        <s v="Karina Galvez Duran"/>
        <s v="Nancy Horacio Porras"/>
        <s v="Dr. Agustín Sandoval"/>
        <s v="German Corral"/>
        <s v="German Leon"/>
        <s v="Estela Tijerina"/>
        <s v="Lic. Anel Cervantez"/>
        <s v="Lic. Ignacio Corrales"/>
        <s v="Mariano Borrego"/>
        <s v="Barbara Perla Godínez"/>
        <s v="Veronica de Leon Covarrubias"/>
        <s v="Carmen Colunga"/>
        <s v="Wendolin Elvia Osorio Gallardo"/>
        <s v="Sandra Cornelio Nava Galarza"/>
        <s v="Eugenio Monica Reséndez"/>
        <s v="Espartaco Godoy Fuentes"/>
        <s v="Judith José María Menchaca Nieves"/>
        <s v="Dr. Emilio Leiva"/>
        <s v="Yeni Tafoya"/>
        <s v="Noemí Julia Zepeda"/>
        <s v="Victoria Gurule"/>
        <s v="Dolores Minerva Frías Baeza"/>
        <s v="Aldonza Arriaga"/>
        <s v="Liliana Pedraza"/>
        <s v="Hilda Soto Serna"/>
        <s v="Jonas Corrales"/>
        <s v="Berta Aldonza Toro Colunga"/>
        <s v="Mercedes Amanda Jurado Centeno"/>
        <s v="Eric Lorenzo Raya"/>
        <s v="José Carlos Soledad Osorio Rodrígez"/>
        <s v="Lic. Mariana Urbina"/>
        <s v="Mateo Flavio Uribe García"/>
        <s v="Manuel Ivan Alarcon Noriega"/>
        <s v="Agustín Rocha"/>
        <s v="Luz Eduardo Villegas Leon"/>
        <s v="Lorenzo Zaragoza Niño"/>
        <s v="Magdalena del Río Covarrubias"/>
        <s v="Nadia Ana María Merino Arteaga"/>
        <s v="Ing. Marcela Guzman"/>
        <s v="Marisol Espinosa Briones"/>
        <s v="Victoria Cabrera Armenta"/>
        <s v="Paulina Garibay Gracia"/>
        <s v="Olga Evelio Solorio"/>
        <s v="Alfonso Alejandra Aguilera"/>
        <s v="Marcos Amador"/>
        <s v="Lic. Rosalia Martínez"/>
        <s v="Lic. Juan Ortega"/>
        <s v="María Eugenia Guajardo Ayala"/>
        <s v="Elvia Pulido Brito"/>
        <s v="Leonel Ponce"/>
        <s v="Ignacio de la Garza"/>
        <s v="Martha Tamayo Niño"/>
        <s v="Elsa Alonso Rivera"/>
        <s v="Concepcion Isabel Becerra del Valle"/>
        <s v="Zoé Claudia Barraza Cornejo"/>
        <s v="Ing. Hernan Vallejo"/>
        <s v="María Cristina Raquel Carranza Orosco"/>
        <s v="Violeta Celia Valverde"/>
        <s v="Yolanda Rafaél Gamez"/>
        <s v="Laura Vaca Madera"/>
        <s v="Hermelinda Mota"/>
        <s v="Ángel Aldo Tello Noriega"/>
        <s v="Mtro. Magdalena Morales"/>
        <s v="Lorenzo Minerva Ocampo Aguilar"/>
        <s v="Arcelia Nieves"/>
        <s v="Frida Alba"/>
        <s v="Mtro. Carmen Leyva"/>
        <s v="Alejandra Araceli Gutiérrez"/>
        <s v="Jeronimo Julia Peralta"/>
        <s v="Sr(a). Vicente Ureña"/>
        <s v="Ing. Alejandra Delgadillo"/>
        <s v="Antonio Juana Soria"/>
        <s v="Patricio Palomino"/>
        <s v="Elias Sotelo Espinal"/>
        <s v="Mtro. Camila Montemayor"/>
        <s v="Aldonza Hernan Sosa"/>
        <s v="Gabino Conchita Bueno"/>
        <s v="Ruby Virginia Salcido"/>
        <s v="Cristian Jacinto Ornelas"/>
        <s v="Eloisa Octavio Quintero"/>
        <s v="Reynaldo Darío Rivas"/>
        <s v="Nelly Hernan Ríos Guardado"/>
        <s v="Gerardo Monica Cornejo Collado"/>
        <s v="Esparta Gracia"/>
        <s v="Citlali Jorge Gastélum"/>
        <s v="René Luna Pineda"/>
        <s v="Jaime Gomez"/>
        <s v="Camilo Terrazas Merino"/>
        <s v="Ramon Godoy"/>
        <s v="Amador Juan Tafoya Hinojosa"/>
        <s v="Yuridia Madrid"/>
        <s v="Humberto Rosas"/>
        <s v="Ing. Liliana Puente"/>
        <s v="Miguel Luis Giron Montañez"/>
        <s v="Karla Berríos"/>
        <s v="Íliver Ulloa"/>
        <s v="María José Zeferino Avilés Zarate"/>
        <s v="Sr(a). Ángela Navarro"/>
        <s v="Sergio Hugo Benavídez García"/>
        <s v="Salvador Barela"/>
        <s v="Sr(a). Carlota Aguayo"/>
        <s v="Sr(a). Monica Cortez"/>
        <s v="Abel Véliz"/>
        <s v="Gilberto Arellano Lozano"/>
        <s v="Cristina Miguel Madrid"/>
        <s v="Ing. Blanca Alfaro"/>
        <s v="Rocío José Luis Villareal Vargas"/>
        <s v="Ing. Cristina Gamez"/>
        <s v="Mtro. Zeferino Oquendo"/>
        <s v="Julio Fuentes"/>
        <s v="Lic. Pedro Jasso"/>
        <s v="Lic. Patricia Feliciano"/>
        <s v="Fidel Celia Roque Vallejo"/>
        <s v="Victoria Wendolin Terrazas Carvajal"/>
        <s v="Mtro. Emiliano Estévez"/>
        <s v="Ing. Mitzy Ordoñez"/>
        <s v="Alfonso Geronimo Tovar Merino"/>
        <s v="Jeronimo José Manuél Magaña"/>
        <s v="Oswaldo Jorge Mota"/>
        <s v="Zeferino Clara Ureña Ramos"/>
        <s v="Eva Julio Corrales"/>
        <s v="Eva Rivas Gallardo"/>
        <s v="Gilberto Tamez Sanches"/>
        <s v="Elias Carmen Téllez"/>
        <s v="Socorro Arcelia Alejandro"/>
        <s v="Alejandro Aida Esquibel Candelaria"/>
        <s v="Camila Arcelia Enríquez Hinojosa"/>
        <s v="Claudio Ana Aguirre Urías"/>
        <s v="Adan Perla Orosco"/>
        <s v="Ing. Fernando Calderon"/>
        <s v="Sr(a). Carla Nevarez"/>
        <s v="Eduardo Benavídez Leal"/>
        <s v="Elena Guardado Enríquez"/>
        <s v="Julia Najera"/>
        <s v="Uriel Abel Rivero Vargas"/>
        <s v="José Manuél Barrios"/>
        <s v="Mtro. Perla Meléndez"/>
        <s v="Santiago Frías"/>
        <s v="Elvira Laboy"/>
        <s v="Sr(a). Lucía Montoya"/>
        <s v="Cynthia Aguilera Figueroa"/>
        <s v="Arturo Haro Varela"/>
        <s v="Marcela Augusto Baca"/>
        <s v="Israel Paredes"/>
        <s v="Lorenzo Collado Gastélum"/>
        <s v="Amanda Baez"/>
        <s v="Ing. Pilar Laboy"/>
        <s v="Cecilia Casas Ledesma"/>
        <s v="Órsula Cristian Ledesma Lara"/>
        <s v="Lic. Berta Cortés"/>
        <s v="Eugenio Marcos Lara"/>
        <s v="Catalina Adela Galarza Camacho"/>
        <s v="Jesús Jimínez"/>
        <s v="Ing. Abraham Giron"/>
        <s v="Marisol Lucio Perea"/>
        <s v="Esperanza Pablo Villa Segovia"/>
        <s v="Dr. Eloy Valles"/>
        <s v="Susana Valadez de la Crúz"/>
        <s v="Emilio Alva"/>
        <s v="Micaela Zavala Borrego"/>
        <s v="Cristobal Frida Lucero Chapa"/>
        <s v="Abril Fonseca"/>
        <s v="Dr. Ramon Miramontes"/>
        <s v="María Cristina Esparta Partida Lozano"/>
        <s v="Daniel Carlota Arredondo Linares"/>
        <s v="Íliver Julio César Cervantes"/>
        <s v="Emilio Peres"/>
        <s v="Dr. Irma Bañuelos"/>
        <s v="Federico Matías"/>
        <s v="Elena Delgado Menéndez"/>
        <s v="Rubén Cecilia Zarate"/>
        <s v="Martín Salma Bermúdez"/>
        <s v="Emiliano Emilio Cuellar"/>
        <s v="Lic. Estela Vanegas"/>
        <s v="Ángela Homero Bravo"/>
        <s v="Lilia Esteban Lucio"/>
        <s v="Indira Eugenia Fuentes"/>
        <s v="Olivia Amelia Cadena"/>
        <s v="Lic. Arturo Barraza"/>
        <s v="Mtro. Andrea Ríos"/>
        <s v="Alvaro Ontiveros"/>
        <s v="Ing. Zacarías Padron"/>
        <s v="German Bustos"/>
        <s v="Darío Antonia Medrano"/>
        <s v="Lic. Marisol Toledo"/>
        <s v="José Aparicio"/>
        <s v="César Jimínez"/>
        <s v="Maximiliano Puga"/>
        <s v="Miguel Granados Oquendo"/>
        <s v="Dr. Zoé Alejandro"/>
        <s v="Dr. Graciela Garibay"/>
        <s v="Mtro. Marcos Rivas"/>
        <s v="Federico Angulo"/>
        <s v="Virginia Aldonza Zamora Longoria"/>
        <s v="Diego Valdez"/>
        <s v="Caridad Alvarado"/>
        <s v="Ing. Zacarías Galvan"/>
        <s v="Camilo Cervantez"/>
        <s v="Graciela Merino"/>
        <s v="Dr. César Portillo"/>
        <s v="Gloria Caban Santana"/>
        <s v="Yolanda Elisa de la Garza"/>
        <s v="Cristobal Renato Malave Mercado"/>
        <s v="Olga Merino Benavides"/>
        <s v="Cristina Alejandro"/>
        <s v="Jaqueline Velasquez Hidalgo"/>
        <s v="Paulina Cornejo"/>
        <s v="Gerardo Elisa Franco"/>
        <s v="Uriel José María Mercado"/>
        <s v="Bernabé Colunga Cordero"/>
        <s v="Dulce María Rendon Zedillo"/>
        <s v="Wilfrido Mariana Rivero Martínez"/>
        <s v="Sara Jorge Alvarez"/>
        <s v="Alma Karina Munguía Paredes"/>
        <s v="Sr(a). Mario Cortés"/>
        <s v="Jeronimo Evelio Serrano Almonte"/>
        <s v="Isabel Quiroz"/>
        <s v="Margarita Guadalupe Ceja"/>
        <s v="Diego Benito Ramos Galvan"/>
        <s v="Tomas Cabrera Tijerina"/>
        <s v="Ana María Palacios Cardenas"/>
        <s v="Delia Jacinto Quintanilla Olvera"/>
        <s v="Olga Frías Paz"/>
        <s v="Guadalupe Marisol Negron Cazares"/>
        <s v="Mariana Guerrero Arreola"/>
        <s v="Eric Montañez Velazquez"/>
        <s v="Carolina Caban Urías"/>
        <s v="Timoteo Abelardo Urías Niño"/>
        <s v="Ricardo Eugenio Meza"/>
        <s v="Abril Ríos"/>
        <s v="Lic. Andrea Altamirano"/>
        <s v="Dalia Sosa"/>
        <s v="Abel Toro"/>
        <s v="Esther Casares"/>
        <s v="Cristina Anguiano"/>
        <s v="Marisol Santana"/>
        <s v="Benjamín Luisa Marrero Frías"/>
        <s v="Mariano Corrales Orosco"/>
        <s v="Anel Marco Antonio Patiño"/>
        <s v="Carlota Julio de Jesús"/>
        <s v="Norma Gastélum Estévez"/>
        <s v="Gilberto Mascareñas"/>
        <s v="Concepcion Elias Alonso Garrido"/>
        <s v="Cynthia Rolon"/>
        <s v="Emiliano Ofelia Luevano"/>
        <s v="Alejandra Marco Antonio Salas Contreras"/>
        <s v="Dr. Salma de Anda"/>
        <s v="Dr. Pascual Bravo"/>
        <s v="Estefanía Ruiz"/>
        <s v="Dr. Rosa Serrano"/>
        <s v="Dr. Cristobal Villa"/>
        <s v="Federico Guillermina Vargas"/>
        <s v="Dr. Abel Salcedo"/>
        <s v="Ernesto Cavazos"/>
        <s v="Emilia Federico Altamirano"/>
        <s v="Mtro. Alfredo de la Fuente"/>
        <s v="Helena Salvador Alba"/>
        <s v="Alonso Ignacio Hidalgo Montes"/>
        <s v="Espartaco Esperanza Armenta Gaitan"/>
        <s v="Ivonne Georgina Arenas"/>
        <s v="Mayte Muro"/>
        <s v="Amelia Baca"/>
        <s v="Irene Saldivar"/>
        <s v="Ángel Davila"/>
        <s v="Ing. Amanda Prado"/>
        <s v="Berta Tania Méndez Lebron"/>
        <s v="Guillermo Diana Curiel Verdugo"/>
        <s v="Hilda Vergara Tirado"/>
        <s v="Camilo Eric Medina"/>
        <s v="Emilio Campos Grijalva"/>
        <s v="Monica Cristal Chacon Candelaria"/>
        <s v="Emiliano Violeta Anguiano Paz"/>
        <s v="Oswaldo Trujillo Torrez"/>
        <s v="Nadia Pérez Medina"/>
        <s v="José Luis Ana María Robledo Cortés"/>
        <s v="Ing. Bruno Miranda"/>
        <s v="Barbara Urrutia Palacios"/>
        <s v="Ivan Amaya"/>
        <s v="Alma Leonel Morales Anguiano"/>
        <s v="David José Luis Espinosa Alonso"/>
        <s v="Alonso Gutiérrez Gonzales"/>
        <s v="Lic. Luz de la Garza"/>
        <s v="Alonso Paola Rocha"/>
        <s v="Andrea Almaraz Barajas"/>
        <s v="Natalia Carmen Madrid"/>
        <s v="Bruno Hernan Rivero"/>
        <s v="Sessa Blanco"/>
        <s v="Mtro. Alberto Calvillo"/>
        <s v="Patricio Abigail Meza"/>
        <s v="María Renato Ochoa Aguilera"/>
        <s v="María Gonzalez"/>
        <s v="Dalia Cornelio Treviño de la O"/>
        <s v="Soledad Yeni Gonzales"/>
        <s v="Benito Montañez"/>
        <s v="Abril Rolando Cardona"/>
        <s v="Paola Leyva Maestas"/>
        <s v="Diana Garza Alfaro"/>
        <s v="Silvano Alvaro Enríquez Pineda"/>
        <s v="Trinidad Holguín Bustamante"/>
        <s v="Carmen Elvira Medina"/>
        <s v="Karla Amelia Garrido Zedillo"/>
        <s v="Victoria Galvan"/>
        <s v="Sr(a). Juana Rangel"/>
        <s v="Conchita Barrientos Olvera"/>
        <s v="Mtro. Débora Escamilla"/>
        <s v="Blanca Galarza"/>
        <s v="Dr. Isabela Amador"/>
        <s v="Ivan Fuentes Fierro"/>
        <s v="Omar Nelly Gamboa"/>
        <s v="Eloy Jaime Mercado Roldan"/>
        <s v="Gregorio Cristal Amaya Zelaya"/>
        <s v="José Carlos Rojo Paez"/>
        <s v="Nayeli Abrego"/>
        <s v="Asuncion Rebeca Rivero"/>
        <s v="Sr(a). Armando Carreon"/>
        <s v="Inés Griego Lemus"/>
        <s v="Santiago Perla Carrero"/>
        <s v="Benjamín Octavio Gaona"/>
        <s v="Dr. Lucas Barela"/>
        <s v="Dr. Adela Alcala"/>
        <s v="Magdalena Carlota Pérez"/>
        <s v="Silvano Villanueva Alcaraz"/>
        <s v="Blanca Gabriela Arenas"/>
        <s v="Natividad Fernando Gastélum"/>
        <s v="Víctor Anguiano"/>
        <s v="Ofelia Francisco Javier Rojas"/>
        <s v="Ing. Marcela Linares"/>
        <s v="Lic. Cristobal Ortega"/>
        <s v="Fidel Mateo Parra Ulloa"/>
        <s v="Ing. Esteban Curiel"/>
        <s v="Gabino Barrera Quiroz"/>
        <s v="Ing. Georgina Preciado"/>
        <s v="José Eduardo Conchita Barrientos Pulido"/>
        <s v="Lucía Irma Zúñiga"/>
        <s v="Gilberto Mitzy Aguirre Macías"/>
        <s v="Ing. Catalina Montenegro"/>
        <s v="Alicia Agustín Piña"/>
        <s v="Karla Pineda Arriaga"/>
        <s v="Marco Antonio Mercado Henríquez"/>
        <s v="Sr(a). Jos Venegas"/>
        <s v="Ana María Verdugo Pichardo"/>
        <s v="Omar Casares Benavídez"/>
        <s v="Mario Fidel Laureano Castro"/>
        <s v="Hilda Razo Lerma"/>
        <s v="José Emilio Herrera Sanabria"/>
        <s v="Marisol Veronica Velasquez"/>
        <s v="Sr(a). Alta  Gracia Espino"/>
        <s v="Laura Baez"/>
        <s v="Mateo Raúl Sosa Arreola"/>
        <s v="Aldo Fonseca"/>
        <s v="Abigail Castillo"/>
        <s v="Hilda Monica Acuña Zedillo"/>
        <s v="Mauricio Oquendo Bustos"/>
        <s v="Hernan Rael"/>
        <s v="Esther Duran"/>
        <s v="Lourdes Reyes Valladares"/>
        <s v="Elias Dulce Figueroa"/>
        <s v="Cristal Leticia Varela Soliz"/>
        <s v="Martín Sara Verduzco"/>
        <s v="Rodrigo Yeni Avilés"/>
        <s v="Eugenia Zambrano Casas"/>
        <s v="Dr. Felix Pizarro"/>
        <s v="Araceli Ulloa Blanco"/>
        <s v="Espartaco Arguello Bustamante"/>
        <s v="Noelia Leon Sanches"/>
        <s v="Frida Arroyo Zepeda"/>
        <s v="Norma Celia Leiva Bañuelos"/>
        <s v="Timoteo Cynthia Cordero"/>
        <s v="Dr. Rolando Mares"/>
        <s v="Jorge Luis Baca"/>
        <s v="Jacobo Centeno Velazquez"/>
        <s v="Octavio Madrid Acevedo"/>
        <s v="Eric Bonilla"/>
        <s v="Adan Ana Ornelas Samaniego"/>
        <s v="Serafín Antonio Fonseca"/>
        <s v="Mitzy Noelia Ramos Menchaca"/>
        <s v="Clara del Valle"/>
        <s v="Olga Georgina Iglesias"/>
        <s v="Jeronimo Palomino Lozano"/>
        <s v="Leonel Salcido"/>
        <s v="Margarita Olivas"/>
        <s v="Nicolas Martín Baez"/>
        <s v="Ing. José Benavídez"/>
        <s v="Alma Paola Godoy"/>
        <s v="Íliver Téllez"/>
        <s v="María Cristina Amelia Rosario Trujillo"/>
        <s v="Indira Orozco Cuellar"/>
        <s v="Carmen Curiel Samaniego"/>
        <s v="Augusto Adan Niño"/>
        <s v="Abigail Mayorga"/>
        <s v="Gilberto Hernan Murillo"/>
        <s v="Camila María Teresa Reyna Lucero"/>
        <s v="Lic. Ana Luisa Montalvo"/>
        <s v="Juan Carlos Teresa Giron Sosa"/>
        <s v="Roberto Mateo Hurtado Leon"/>
        <s v="Isabela Mario Vigil Colunga"/>
        <s v="Karina Núñez"/>
        <s v="Wilfrido Daniela Alonso Gaytan"/>
        <s v="Mtro. Emilia Rolon"/>
        <s v="María Maximiliano Ochoa"/>
        <s v="Uriel Montes Contreras"/>
        <s v="Gerardo Sauceda"/>
        <s v="Ernesto Quezada"/>
        <s v="Abraham Israel Cortés Gaitan"/>
        <s v="Humberto Yeni Ceballos"/>
        <s v="Eugenio Almonte"/>
        <s v="Sr(a). María Navarrete"/>
        <s v="Raquel Crespo Carrion"/>
        <s v="Jonas Peña"/>
        <s v="Emilio Almaraz"/>
        <s v="Rafaél Gerardo Serrato"/>
        <s v="Claudia Suarez Galvan"/>
        <s v="Pascual Treviño"/>
        <s v="Yeni Diego Mateo Irizarry"/>
        <s v="Dr. Eugenia Jaquez"/>
        <s v="Jorge Bernardo Ávalos"/>
        <s v="Gabriela Aida Chapa"/>
        <s v="Aurora Amador Mendoza Prieto"/>
        <s v="Ing. Mitzy de la Rosa"/>
        <s v="German Crespo Leyva"/>
        <s v="Salma Andrés Montañez"/>
        <s v="Cynthia Oswaldo Olvera"/>
        <s v="Amador Íscar Orellana"/>
        <s v="Isabela Cortez"/>
        <s v="Sr(a). Magdalena Bustamante"/>
        <s v="Roberto Aleman Duarte"/>
        <s v="Mauricio Horacio Marín"/>
        <s v="Porfirio Lorenzo Cordero"/>
        <s v="Raquel Domínguez Vanegas"/>
        <s v="Paulina Peres Carmona"/>
        <s v="Agustín Montemayor Escobedo"/>
        <s v="Patricio Citlali Rico Jurado"/>
        <s v="Blanca Juan Carlos Sisneros"/>
        <s v="Sr(a). Monica Montañez"/>
        <s v="Ing. Nayeli del Valle"/>
        <s v="Carlota Helena Cepeda"/>
        <s v="Lic. Hugo Polanco"/>
        <s v="Lic. Ricardo Coronado"/>
        <s v="Israel Amaya"/>
        <s v="Paola Zarate"/>
        <s v="Hugo Orellana Aguilera"/>
        <s v="Claudio Anguiano Suarez"/>
        <s v="Caridad Frida Villarreal"/>
        <s v="Mariano Cruz"/>
        <s v="Nelly Vaca Santana"/>
        <s v="Luisa Eugenio Vasquez Aleman"/>
        <s v="Leonel Noelia Solís"/>
        <s v="Pascual Gracia Robles"/>
        <s v="Lorenzo Rafaél Morales Valles"/>
        <s v="Adan Prado"/>
        <s v="Caridad Ojeda"/>
        <s v="Elsa Alonso Almanza"/>
        <s v="Julia Baeza"/>
        <s v="Linda Tomas Cuellar"/>
        <s v="Lic. Vanesa Enríquez"/>
        <s v="Mario Gilberto Torrez"/>
        <s v="Clara Echeverría"/>
        <s v="Lorena Jacinto Limon"/>
        <s v="Asuncion Maximiliano Baca Ramírez"/>
        <s v="Evelio Pilar Urbina"/>
        <s v="Aida Marrero"/>
        <s v="Benjamín Alejandra Zapata Zamudio"/>
        <s v="Cristina Valentín Castillo"/>
        <s v="Yuridia Riojas Cotto"/>
        <s v="Hilda Corrales Ramon"/>
        <s v="Celia Cardona Griego"/>
        <s v="Elvira Marisol Reyes Alfaro"/>
        <s v="Miguel Romo"/>
        <s v="Cristian Mercedes Rubio Medrano"/>
        <s v="Dr. Fabiola Galindo"/>
        <s v="Susana Juarez"/>
        <s v="Jos Mariana Cano"/>
        <s v="Ana Luisa Araceli de la Crúz"/>
        <s v="Dr. Evelio Rosario"/>
        <s v="Sr(a). Genaro Paz"/>
        <s v="Francisco Javier Blanca Serrato"/>
        <s v="María Teresa Citlali Negrete"/>
        <s v="Eric Joaquín Navarrete"/>
        <s v="Adalberto Nayeli Villarreal Davila"/>
        <s v="Mtro. Josefina Miramontes"/>
        <s v="Gonzalo Rascon"/>
        <s v="Cristina Barbara de la Rosa"/>
        <s v="Ing. David Valencia"/>
        <s v="Amanda José Eduardo Rolon"/>
        <s v="Antonia Borrego"/>
        <s v="Pamela Magdalena Pantoja Sisneros"/>
        <s v="Jorge Luis María Calderon Valdivia"/>
        <s v="Leonel Cruz Enríquez"/>
        <s v="Dr. Alonso Lucero"/>
        <s v="Liliana Altamirano Solano"/>
        <s v="Alejandro Rodrigo Guillen Paredes"/>
        <s v="Inés Meza Campos"/>
        <s v="Mauricio José Luis Arroyo Mascareñas"/>
        <s v="Ofelia Suarez"/>
        <s v="Armando Ángela Juarez"/>
        <s v="Citlali Pantoja"/>
        <s v="Ing. Anabel Carreon"/>
        <s v="Íscar Cadena Valle"/>
        <s v="Samuel Esteban Caraballo Balderas"/>
        <s v="Ana María Pichardo Sepúlveda"/>
        <s v="Mayte Acevedo Viera"/>
        <s v="Trinidad Badillo"/>
        <s v="Yuridia Rubén Armendariz"/>
        <s v="Carolina Clara Cotto"/>
        <s v="Héctor José Luis Vaca"/>
        <s v="Ana Alvarado Zambrano"/>
        <s v="Jesús Burgos Ballesteros"/>
        <s v="Yolanda Joaquín Barela Méndez"/>
        <s v="Clemente Omar Olivo"/>
        <s v="Marisela Zeferino Adame Ureña"/>
        <s v="Liliana Verduzco"/>
        <s v="Dolores Pablo Menéndez"/>
        <s v="Héctor Luevano"/>
        <s v="Esteban José Emilio Polanco Valentín"/>
        <s v="Federico Alfaro"/>
        <s v="Indira Brito"/>
        <s v="Mtro. Abelardo Ríos"/>
        <s v="Íscar Ulloa Valdivia"/>
        <s v="Miguel Ángel Alberto Tamayo"/>
        <s v="Esmeralda Eugenia Ceja"/>
        <s v="Estela Alejandro Caballero"/>
        <s v="David Prado"/>
        <s v="Patricia Candelaria Ramon"/>
        <s v="Marcos Alba Becerra"/>
        <s v="Marisela Preciado"/>
        <s v="Lic. Lorenzo Zaragoza"/>
        <s v="Lic. Carmen Brito"/>
        <s v="Diego Nancy Madrid Cornejo"/>
        <s v="Conchita Calvillo Alba"/>
        <s v="Lic. Aurora Zamudio"/>
        <s v="Leonor Cristina Concepcion"/>
        <s v="Pamela Homero Arreola Godoy"/>
        <s v="Ruby Amador Quintero"/>
        <s v="Mauro Meléndez"/>
        <s v="Ing. Georgina Murillo"/>
        <s v="Alejandra Roldan"/>
        <s v="Pilar Luisa Bonilla Garrido"/>
        <s v="Bernabé Zaragoza"/>
        <s v="Armando Monica Reyna"/>
        <s v="Dr. José Manuél Candelaria"/>
        <s v="Estela Ivan Figueroa"/>
        <s v="María Luisa Cardenas Montemayor"/>
        <s v="Dr. José Eduardo Moreno"/>
        <s v="Mtro. Órsula Palacios"/>
        <s v="Nadia Canales Núñez"/>
        <s v="Dr. Estefanía Casas"/>
        <s v="Dr. Íliver de Leon"/>
        <s v="Dr. María Eugenia Valdivia"/>
        <s v="Eugenio Fernando Delgado"/>
        <s v="Modesto Rufino Mares Negron"/>
        <s v="Dr. Ariadna de Jesús"/>
        <s v="Jorge Luis Blanca Regalado Mora"/>
        <s v="Beatriz Virginia Duarte Flores"/>
        <s v="Lic. Jorge Alva"/>
        <s v="Zeferino Leon"/>
        <s v="María Teresa Ocasio Vera"/>
        <s v="Jesús Carreon"/>
        <s v="Ramiro Adriana Botello"/>
        <s v="Débora Alberto de Jesús Rodríguez"/>
        <s v="Dr. Aida Perales"/>
        <s v="Dalia Barrera"/>
        <s v="Sr(a). Diego Adame"/>
        <s v="Guillermina Otero"/>
        <s v="Ing. Wilfrido Carranza"/>
        <s v="Hilda Armando Padilla Castellanos"/>
        <s v="Sr(a). Socorro Jurado"/>
        <s v="Pedro Eric Parra Palacios"/>
        <s v="Gilberto Fajardo Esquivel"/>
        <s v="Oswaldo Magaña"/>
        <s v="Roberto María Cristina Madera Alejandro"/>
        <s v="María José Jacobo Perales Ortiz"/>
        <s v="Lic. Mateo Salazar"/>
        <s v="Olivia Cristobal Oquendo Nieves"/>
      </sharedItems>
    </cacheField>
    <cacheField name="Email" numFmtId="0">
      <sharedItems>
        <s v="qcovarrubias@hotmail.com"/>
        <s v="gaytansergio@navarro.info"/>
        <s v="maria-teresamanzanares@jaquez.com"/>
        <s v="pizarrojaqueline@acuna-moreno.com"/>
        <s v="yterrazas@hotmail.com"/>
        <s v="gvazquez@burgos.com"/>
        <s v="concepcion88@hotmail.com"/>
        <s v="rocioescalante@hotmail.com"/>
        <s v="dromero@industrias.info"/>
        <s v="emiliovillegas@diaz-ulibarri.net"/>
        <s v="maria-teresaibarra@yahoo.com"/>
        <s v="baezjonas@proyectos.org"/>
        <s v="guillerminacorral@yahoo.com"/>
        <s v="luisamata@barajas-de.org"/>
        <s v="benitezcarlota@yahoo.com"/>
        <s v="brivera@club.com"/>
        <s v="victor38@industrias.com"/>
        <s v="maria-elena87@proyectos.biz"/>
        <s v="nadame@hotmail.com"/>
        <s v="fmontalvo@gmail.com"/>
        <s v="marcos44@yahoo.com"/>
        <s v="julio50@hotmail.com"/>
        <s v="umadrigal@despacho.biz"/>
        <s v="cresporaquel@yahoo.com"/>
        <s v="kveliz@gmail.com"/>
        <s v="ilse56@tapia-zavala.com"/>
        <s v="marco-antoniorosado@grupo.org"/>
        <s v="antoniohernandez@gmail.com"/>
        <s v="maytecasares@yahoo.com"/>
        <s v="reyesespartaco@hotmail.com"/>
        <s v="tozuna@yahoo.com"/>
        <s v="francisco-javierzamudio@gmail.com"/>
        <s v="emontalvo@angulo.info"/>
        <s v="qcolon@laureano-solorzano.net"/>
        <s v="del-riojuan@velasco.com"/>
        <s v="ffuentes@ochoa-molina.com"/>
        <s v="bruno78@vega.org"/>
        <s v="estherpedroza@rojas-moya.info"/>
        <s v="porfirio68@corporacin.biz"/>
        <s v="sessa76@casarez.com"/>
        <s v="nicolas17@gmail.com"/>
        <s v="mauro20@urrutia.net"/>
        <s v="irobles@gmail.com"/>
        <s v="juana28@hotmail.com"/>
        <s v="arellanoalfredo@gmail.com"/>
        <s v="gabrieljaime@club.com"/>
        <s v="rosasgabriela@gmail.com"/>
        <s v="vicentezelaya@valdez.com"/>
        <s v="deborallamas@hotmail.com"/>
        <s v="fernando51@yahoo.com"/>
        <s v="miriam03@laboratorios.com"/>
        <s v="pulidoindira@industrias.org"/>
        <s v="virginiameraz@yahoo.com"/>
        <s v="leonardorosas@laboratorios.com"/>
        <s v="gdel-rio@proyectos.biz"/>
        <s v="bernabe37@despacho.com"/>
        <s v="granadosaraceli@proyectos.net"/>
        <s v="ursulamenchaca@hotmail.com"/>
        <s v="ana-luisa49@otero.org"/>
        <s v="jeronimovigil@hotmail.com"/>
        <s v="orascon@corporacin.com"/>
        <s v="dponce@verdugo.info"/>
        <s v="adriana27@hotmail.com"/>
        <s v="oswaldo20@proyectos.net"/>
        <s v="paolavergara@laboratorios.net"/>
        <s v="leonortoledo@solorzano.com"/>
        <s v="linda23@gmail.com"/>
        <s v="brunoflorez@hotmail.com"/>
        <s v="felipe81@espino.info"/>
        <s v="casarezminerva@yahoo.com"/>
        <s v="angel71@rincon-perea.com"/>
        <s v="cristobal02@frias-mojica.biz"/>
        <s v="magdalena44@industrias.com"/>
        <s v="onavarro@proyectos.com"/>
        <s v="uferrer@gmail.com"/>
        <s v="valmonte@gmail.com"/>
        <s v="alfredocastro@oquendo.com"/>
        <s v="abel08@laboratorios.com"/>
        <s v="raquelyanez@hotmail.com"/>
        <s v="javierraya@hotmail.com"/>
        <s v="yzedillo@despacho.org"/>
        <s v="villarebeca@gmail.com"/>
        <s v="de-la-torrelorenzo@yahoo.com"/>
        <s v="roqueelsa@gmail.com"/>
        <s v="vcontreras@yahoo.com"/>
        <s v="soniapaez@laboratorios.com"/>
        <s v="delgadogabino@hotmail.com"/>
        <s v="garaymarco-antonio@gmail.com"/>
        <s v="trevinoisaac@hotmail.com"/>
        <s v="salma61@gmail.com"/>
        <s v="pamela41@grupo.com"/>
        <s v="vallejogustavo@despacho.net"/>
        <s v="carlota45@yahoo.com"/>
        <s v="olverapamela@yahoo.com"/>
        <s v="rociopalomino@valenzuela.com"/>
        <s v="vmesa@valdes-suarez.com"/>
        <s v="ncastaneda@rico.com"/>
        <s v="correaestefania@yahoo.com"/>
        <s v="prietowendolin@abrego-mares.com"/>
        <s v="martincandelaria@hotmail.com"/>
        <s v="garenas@verduzco.org"/>
        <s v="timoteo70@hotmail.com"/>
        <s v="jeronimo36@proyectos.info"/>
        <s v="rosaliabatista@hurtado.com"/>
        <s v="cejaantonio@gmail.com"/>
        <s v="yenivaldes@quesada.com"/>
        <s v="uescalante@gmail.com"/>
        <s v="hugodel-rio@reyna.com"/>
        <s v="borregomitzy@hotmail.com"/>
        <s v="maximiliano11@garrido.com"/>
        <s v="citlaliramos@roque-velasco.biz"/>
        <s v="sramirez@yahoo.com"/>
        <s v="anel99@hotmail.com"/>
        <s v="francisca45@espinal.com"/>
        <s v="mauriciogarcia@gmail.com"/>
        <s v="enriqueaguirre@tamayo-roldan.com"/>
        <s v="fheredia@amador.biz"/>
        <s v="hborrego@hotmail.com"/>
        <s v="ivenegas@club.com"/>
        <s v="colladomercedes@yahoo.com"/>
        <s v="felicianoirene@gmail.com"/>
        <s v="jossolorzano@berrios.info"/>
        <s v="isabelmunguia@de.com"/>
        <s v="luisaquintanilla@regalado-tejeda.com"/>
        <s v="barrazaclaudia@hotmail.com"/>
        <s v="rodriguezluis@corporacin.com"/>
        <s v="franciscaarredondo@club.com"/>
        <s v="tcamarillo@gmail.com"/>
        <s v="isuarez@rodriguez.info"/>
        <s v="zmelgar@corporacin.com"/>
        <s v="zbarajas@industrias.com"/>
        <s v="cintronbernabe@grupo.biz"/>
        <s v="zedilloamador@yahoo.com"/>
        <s v="rosaliapizarro@narvaez.com"/>
        <s v="maganafabiola@hinojosa-meraz.com"/>
        <s v="ortaasuncion@laboratorios.org"/>
        <s v="octavio81@granados.biz"/>
        <s v="lucasirizarry@corporacin.com"/>
        <s v="cfajardo@ferrer-candelaria.net"/>
        <s v="benavidezgabino@hotmail.com"/>
        <s v="yeni97@hotmail.com"/>
        <s v="xsaenz@hotmail.com"/>
        <s v="irene40@bustos.info"/>
        <s v="marisoldominguez@yahoo.com"/>
        <s v="margarita66@hotmail.com"/>
        <s v="agamboa@corporacin.com"/>
        <s v="eugenia47@de.com"/>
        <s v="jose-manuelcazares@franco.org"/>
        <s v="fduran@arredondo.com"/>
        <s v="isaac34@aviles.biz"/>
        <s v="liliagonzalez@sanabria.info"/>
        <s v="renato62@gmail.com"/>
        <s v="juan-carlosporras@hotmail.com"/>
        <s v="indira48@gmail.com"/>
        <s v="mercedes40@lozano-borrego.org"/>
        <s v="merinovicente@hotmail.com"/>
        <s v="concepcion07@hotmail.com"/>
        <s v="floresleonor@salcido-barrientos.info"/>
        <s v="indira44@maya.biz"/>
        <s v="jose-emiliogamboa@laboratorios.biz"/>
        <s v="tiradoberta@yahoo.com"/>
        <s v="barbara76@hotmail.com"/>
        <s v="marisol14@maestas.com"/>
        <s v="mendezmonica@chacon.com"/>
        <s v="eugenio20@yahoo.com"/>
        <s v="franciscabonilla@yahoo.com"/>
        <s v="riveraleonardo@carrasco.com"/>
        <s v="dolores01@gmail.com"/>
        <s v="aurelio09@fuentes.com"/>
        <s v="cabanmauricio@partida-barrios.net"/>
        <s v="german49@yahoo.com"/>
        <s v="florenciaescamilla@industrias.com"/>
        <s v="ccintron@gmail.com"/>
        <s v="pradooctavio@yahoo.com"/>
        <s v="eveliz@verdugo-covarrubias.com"/>
        <s v="camilapuente@hotmail.com"/>
        <s v="martha43@gmail.com"/>
        <s v="rolando62@hotmail.com"/>
        <s v="teresa90@yahoo.com"/>
        <s v="galvancamilo@santana-farias.com"/>
        <s v="navajose-eduardo@peralta.org"/>
        <s v="karinajaimes@grupo.net"/>
        <s v="cornelio15@grupo.com"/>
        <s v="eloy50@despacho.com"/>
        <s v="xespinosa@maestas-zambrano.org"/>
        <s v="guzmanalfonso@molina.com"/>
        <s v="casanovahugo@yahoo.com"/>
        <s v="veronicagaona@yahoo.com"/>
        <s v="galindoabelardo@hotmail.com"/>
        <s v="yolandamontalvo@gmail.com"/>
        <s v="gzelaya@gmail.com"/>
        <s v="cesar12@hotmail.com"/>
        <s v="camilareyes@yahoo.com"/>
        <s v="gaonagabriel@proyectos.org"/>
        <s v="rduarte@hotmail.com"/>
        <s v="natividad96@toro.biz"/>
        <s v="anabelgalarza@gmail.com"/>
        <s v="mejiaricardo@yahoo.com"/>
        <s v="umata@despacho.com"/>
        <s v="gilalta-gracia@miramontes.com"/>
        <s v="acovarrubias@yahoo.com"/>
        <s v="maria-eugenia48@industrias.com"/>
        <s v="benjaminguerra@yahoo.com"/>
        <s v="ninovictor@gmail.com"/>
        <s v="eric39@gmail.com"/>
        <s v="whuerta@cornejo.com"/>
        <s v="merazoliver@yahoo.com"/>
        <s v="bacaelvia@gmail.com"/>
        <s v="francisco-javier56@gmail.com"/>
        <s v="daliavillagomez@gmail.com"/>
        <s v="daniela26@hotmail.com"/>
        <s v="eesquibel@campos.info"/>
        <s v="claudia30@hotmail.com"/>
        <s v="vparra@gmail.com"/>
        <s v="wmontoya@yahoo.com"/>
        <s v="yeni63@gmail.com"/>
        <s v="xramirez@laboratorios.com"/>
        <s v="arico@almaraz-ontiveros.com"/>
        <s v="dvillegas@despacho.com"/>
        <s v="santacruzanel@hotmail.com"/>
        <s v="blancaromero@armenta-murillo.com"/>
        <s v="eugenio94@yahoo.com"/>
        <s v="isabela60@hotmail.com"/>
        <s v="bfajardo@suarez.info"/>
        <s v="maria-eugeniairizarry@gmail.com"/>
        <s v="salma27@nieto-herrera.com"/>
        <s v="ignaciochacon@gmail.com"/>
        <s v="cervanteshermelinda@godinez.net"/>
        <s v="oscar45@tovar.info"/>
        <s v="pazrocio@gmail.com"/>
        <s v="rodolfolucio@gmail.com"/>
        <s v="zguardado@grupo.biz"/>
        <s v="ulucero@gmail.com"/>
        <s v="rubencanales@hotmail.com"/>
        <s v="elvirasepulveda@corporacin.com"/>
        <s v="sernaemilia@yahoo.com"/>
        <s v="ernesto07@gmail.com"/>
        <s v="silvano66@proyectos.com"/>
        <s v="saavedrafelipe@yahoo.com"/>
        <s v="gfranco@grupo.com"/>
        <s v="quirozjose-maria@valdivia.biz"/>
        <s v="rivascristian@grupo.com"/>
        <s v="catalina33@yahoo.com"/>
        <s v="qsolorzano@despacho.com"/>
        <s v="xalva@cazares-santillan.biz"/>
        <s v="carmen91@gonzales.org"/>
        <s v="reynadulce-maria@hotmail.com"/>
        <s v="jtovar@trujillo-orellana.com"/>
        <s v="mireleshector@vigil.com"/>
        <s v="lsalas@grupo.org"/>
        <s v="casaresramon@hotmail.com"/>
        <s v="israel13@aviles.biz"/>
        <s v="carolinaoquendo@industrias.net"/>
        <s v="tvalle@guzman.org"/>
        <s v="jose-eduardo21@yahoo.com"/>
        <s v="gracielasosa@gmail.com"/>
        <s v="wvega@yahoo.com"/>
        <s v="zoe99@ornelas.com"/>
        <s v="darenas@corporacin.org"/>
        <s v="griegomonica@yahoo.com"/>
        <s v="ynavarro@gmail.com"/>
        <s v="francisco-javiersalcedo@hotmail.com"/>
        <s v="verduzcohilda@merino.biz"/>
        <s v="leonorbermudez@nieves.info"/>
        <s v="patricia75@corporacin.com"/>
        <s v="hocampo@corporacin.net"/>
        <s v="cabreraleonel@yahoo.com"/>
        <s v="julio-cesarrazo@hotmail.com"/>
        <s v="yolanda26@montemayor.biz"/>
        <s v="jose-emiliovillanueva@hotmail.com"/>
        <s v="kmurillo@proyectos.net"/>
        <s v="andresquinonez@yahoo.com"/>
        <s v="rebeca22@yahoo.com"/>
        <s v="saucedaconcepcion@hotmail.com"/>
        <s v="tmontoya@gmail.com"/>
        <s v="anel88@lugo.com"/>
        <s v="pelayojaqueline@hotmail.com"/>
        <s v="olivertejada@hotmail.com"/>
        <s v="jaquezesteban@gmail.com"/>
        <s v="itapia@despacho.com"/>
        <s v="auroralugo@acuna-mercado.com"/>
        <s v="benito43@corporacin.com"/>
        <s v="eduardo20@club.org"/>
        <s v="de-la-fuentemanuel@yahoo.com"/>
        <s v="wnevarez@perea.com"/>
        <s v="jaime62@industrias.com"/>
        <s v="ramon28@gmail.com"/>
        <s v="jose-luis02@hotmail.com"/>
        <s v="lbarajas@alva-montalvo.com"/>
        <s v="vnavarro@gmail.com"/>
        <s v="forosco@mesa.biz"/>
        <s v="pcruz@zelaya.com"/>
        <s v="gamezjonas@estevez.org"/>
        <s v="avalosjosefina@gmail.com"/>
        <s v="ballesterosevelio@yahoo.com"/>
        <s v="urielojeda@fierro-cordero.com"/>
        <s v="xnino@yahoo.com"/>
        <s v="amaliaespino@mota-bernal.info"/>
        <s v="luis-manuelperes@club.info"/>
        <s v="anaranjo@despacho.com"/>
        <s v="ilebron@yahoo.com"/>
        <s v="lpacheco@yahoo.com"/>
        <s v="gcotto@alcala-espinoza.com"/>
        <s v="teresaaguirre@despacho.com"/>
        <s v="nazarioandrea@hotmail.com"/>
        <s v="cornelio81@hotmail.com"/>
        <s v="ehernandez@nieto.com"/>
        <s v="celia37@guardado.com"/>
        <s v="estebanespinal@hotmail.com"/>
        <s v="cristinaarguello@del.info"/>
        <s v="gregoriocervantes@hotmail.com"/>
        <s v="mariana08@jurado.org"/>
        <s v="carolina73@gmail.com"/>
        <s v="santillancamila@hotmail.com"/>
        <s v="mariasevilla@caldera-valdivia.com"/>
        <s v="pserrano@gmail.com"/>
        <s v="renedominguez@osorio.com"/>
        <s v="nayelipedroza@samaniego.com"/>
        <s v="henriquezjose-maria@gurule.net"/>
        <s v="jcintron@hotmail.com"/>
        <s v="eloyarroyo@yahoo.com"/>
        <s v="ssosa@hotmail.com"/>
        <s v="luisromo@grupo.org"/>
        <s v="josefinacarrero@zavala.com"/>
        <s v="lorena10@gmail.com"/>
        <s v="zamudiooswaldo@rosales.com"/>
        <s v="gdel-valle@covarrubias-marquez.com"/>
        <s v="gabinopolanco@gmail.com"/>
        <s v="aholguin@industrias.com"/>
        <s v="malaveleonor@hotmail.com"/>
        <s v="guadalupe65@cervantez.info"/>
        <s v="yfarias@industrias.com"/>
        <s v="wadame@yahoo.com"/>
        <s v="socorrodel-valle@gmail.com"/>
        <s v="helenanaranjo@roybal.org"/>
        <s v="cortestrinidad@hotmail.com"/>
        <s v="lucas66@hotmail.com"/>
        <s v="qrosado@hotmail.com"/>
        <s v="veronicalongoria@hotmail.com"/>
        <s v="gcalvillo@gmail.com"/>
        <s v="gregoriopuente@laboratorios.info"/>
        <s v="jorgecervantes@yahoo.com"/>
        <s v="prietojorge@hotmail.com"/>
        <s v="valenzuelarodolfo@yahoo.com"/>
        <s v="olveraalvaro@hotmail.com"/>
        <s v="ncardenas@hotmail.com"/>
        <s v="ovillalpando@hotmail.com"/>
        <s v="hernadezalvaro@gmail.com"/>
        <s v="florencia21@grupo.com"/>
        <s v="cristianbrito@gmail.com"/>
        <s v="vcarreon@industrias.net"/>
        <s v="emateo@colunga.com"/>
        <s v="jaquezpatricia@hotmail.com"/>
        <s v="asuncionespino@gmail.com"/>
        <s v="cruzhoracio@yahoo.com"/>
        <s v="rosarioalmaraz@gmail.com"/>
        <s v="cabreraabelardo@gmail.com"/>
        <s v="barriosconchita@industrias.com"/>
        <s v="nbarraza@yahoo.com"/>
        <s v="ujasso@abreu-crespo.info"/>
        <s v="elvira02@hotmail.com"/>
        <s v="rsosa@laboratorios.com"/>
        <s v="luis-miguelsantacruz@yahoo.com"/>
        <s v="leonelponce@hotmail.com"/>
        <s v="emilianovillanueva@grupo.org"/>
        <s v="olivia24@yahoo.com"/>
        <s v="albertourena@yahoo.com"/>
        <s v="ilongoria@gmail.com"/>
        <s v="raquelzamudio@corporacin.org"/>
        <s v="psolorzano@proyectos.org"/>
        <s v="indiracarrasco@gmail.com"/>
        <s v="bbenavides@grupo.biz"/>
        <s v="federico70@velasco.biz"/>
        <s v="bpacheco@hotmail.com"/>
        <s v="ana-marialomeli@santana.net"/>
        <s v="geronimoalmonte@hotmail.com"/>
        <s v="abrillemus@hotmail.com"/>
        <s v="isaac33@gmail.com"/>
        <s v="hernan45@yahoo.com"/>
        <s v="ireneberrios@torres.biz"/>
        <s v="alejandra48@yahoo.com"/>
        <s v="rodrigo57@centeno-meza.org"/>
        <s v="israel06@industrias.net"/>
        <s v="juanaceja@corporacin.org"/>
        <s v="mayteramon@gmail.com"/>
        <s v="oquendoyeni@gmail.com"/>
        <s v="mballesteros@escamilla-aguayo.info"/>
        <s v="nzapata@yahoo.com"/>
        <s v="sevillaemiliano@yahoo.com"/>
        <s v="overa@hotmail.com"/>
        <s v="jassomarco-antonio@gmail.com"/>
        <s v="darioquintero@grupo.biz"/>
        <s v="micaela56@corporacin.com"/>
        <s v="jaquelineontiveros@grupo.com"/>
        <s v="oliviacarmona@magana.net"/>
        <s v="rmireles@hotmail.com"/>
        <s v="riverocynthia@laboratorios.org"/>
        <s v="pvaca@padilla-calderon.com"/>
        <s v="pilarpena@gmail.com"/>
        <s v="rene11@carrillo.com"/>
        <s v="brunoferrer@hotmail.com"/>
        <s v="jorge11@yahoo.com"/>
        <s v="maytezamudio@hotmail.com"/>
        <s v="jacinto56@laboratorios.biz"/>
        <s v="catalina70@gmail.com"/>
        <s v="eugeniobravo@gmail.com"/>
        <s v="bruno96@hotmail.com"/>
        <s v="bfajardo@gmail.com"/>
        <s v="uriasbernabe@perez-saldivar.com"/>
        <s v="acevedobruno@gmail.com"/>
        <s v="bustossandra@gmail.com"/>
        <s v="monteroraul@yahoo.com"/>
        <s v="sramos@hotmail.com"/>
        <s v="qvilla@gmail.com"/>
        <s v="felixramon@gmail.com"/>
        <s v="ypichardo@hotmail.com"/>
        <s v="maria-cristinamatos@hotmail.com"/>
        <s v="jorge49@gmail.com"/>
        <s v="soledad84@yahoo.com"/>
        <s v="de-la-fuentereina@gmail.com"/>
        <s v="qde-la-garza@alejandro.info"/>
        <s v="toledojacobo@olivo.biz"/>
        <s v="jose-luisanaya@olivo-villa.com"/>
        <s v="emiliaesparza@santacruz.org"/>
        <s v="almonteadriana@chapa-grijalva.biz"/>
        <s v="abelurrutia@grupo.com"/>
        <s v="amayajavier@gmail.com"/>
        <s v="jacoboalcantar@bahena.info"/>
        <s v="mateocastro@club.com"/>
        <s v="agustin99@hotmail.com"/>
        <s v="linda75@hotmail.com"/>
        <s v="bernardo49@gmail.com"/>
        <s v="marisoltijerina@gmail.com"/>
        <s v="eloisaaragon@candelaria.org"/>
        <s v="laboyleonor@yahoo.com"/>
        <s v="dblanco@club.com"/>
        <s v="indira82@miramontes-menendez.biz"/>
        <s v="emiliano86@gmail.com"/>
        <s v="escobedoilse@proyectos.biz"/>
        <s v="vmadrigal@bravo.com"/>
        <s v="florencia21@hotmail.com"/>
        <s v="seguralinda@gmail.com"/>
        <s v="isabel20@macias.org"/>
        <s v="lomelivictoria@alvarez-olivo.org"/>
        <s v="ursulaespinoza@de.info"/>
        <s v="clozada@vela.biz"/>
        <s v="sara48@gmail.com"/>
        <s v="martin48@farias-huerta.com"/>
        <s v="bernaberenteria@hotmail.com"/>
        <s v="ojaimes@yahoo.com"/>
        <s v="sierravictoria@yahoo.com"/>
        <s v="verdugooswaldo@industrias.org"/>
        <s v="bravodiego@zayas.info"/>
        <s v="eduardo52@grupo.info"/>
        <s v="liliana23@despacho.com"/>
        <s v="villarealana-luisa@aviles.org"/>
        <s v="peresguadalupe@laboratorios.info"/>
        <s v="leticiajurado@yahoo.com"/>
        <s v="de-la-cruzisabel@grupo.com"/>
        <s v="karlavillegas@urias.com"/>
        <s v="vdavila@gmail.com"/>
        <s v="esparta94@gmail.com"/>
        <s v="ujasso@olivares.com"/>
        <s v="feliperolon@hotmail.com"/>
        <s v="jaimerenteria@despacho.com"/>
        <s v="noemirivera@hotmail.com"/>
        <s v="navarretenelly@yahoo.com"/>
        <s v="carvajalesmeralda@gmail.com"/>
        <s v="ocasiofrancisco-javier@yahoo.com"/>
        <s v="pde-jesus@yahoo.com"/>
        <s v="zoeguevara@hotmail.com"/>
        <s v="rvillanueva@gmail.com"/>
        <s v="marco-antonioverduzco@yahoo.com"/>
        <s v="etoledo@gmail.com"/>
        <s v="estefania56@marrero.com"/>
        <s v="reynaldogaribay@hotmail.com"/>
        <s v="igalvez@teran-pizarro.net"/>
        <s v="gonzalocarrero@proyectos.com"/>
        <s v="uarroyo@manzanares.biz"/>
        <s v="esparta21@yahoo.com"/>
        <s v="abril49@yahoo.com"/>
        <s v="cornejocornelio@despacho.org"/>
        <s v="salvador03@gmail.com"/>
        <s v="elvira67@grijalva.com"/>
        <s v="malaveluz@yahoo.com"/>
        <s v="del-vallenatividad@zuniga-carrasco.com"/>
        <s v="maria-teresa56@valle.com"/>
        <s v="indiraarroyo@gmail.com"/>
        <s v="vcervantez@matos-villagomez.biz"/>
        <s v="jose-manuel14@madera-arenas.com"/>
        <s v="oliviamaestas@club.biz"/>
        <s v="beatriz73@yahoo.com"/>
        <s v="julio55@yahoo.com"/>
        <s v="rosalia18@gmail.com"/>
        <s v="del-vallejorge@paz.biz"/>
        <s v="de-andavicente@robles.com"/>
        <s v="maderaoliver@yahoo.com"/>
        <s v="armando09@gmail.com"/>
        <s v="antoniabarela@despacho.net"/>
        <s v="ymayorga@gmail.com"/>
        <s v="wulloa@industrias.com"/>
        <s v="nunezmanuel@yahoo.com"/>
        <s v="ltapia@hotmail.com"/>
        <s v="ibarraza@hotmail.com"/>
        <s v="felipede-la-rosa@arredondo-hinojosa.net"/>
        <s v="reinasegovia@hotmail.com"/>
        <s v="noriegasara@uribe.com"/>
        <s v="halfaro@despacho.com"/>
        <s v="cardonapascual@industrias.info"/>
        <s v="juliavergara@barraza.info"/>
        <s v="razoraul@yahoo.com"/>
        <s v="jmacias@salazar.com"/>
        <s v="hector75@despacho.org"/>
        <s v="quirozcristina@hotmail.com"/>
        <s v="adelafierro@resendez.com"/>
        <s v="socorrocolunga@rosales-caraballo.com"/>
        <s v="melgarbenjamin@laboratorios.com"/>
        <s v="acabrera@yahoo.com"/>
        <s v="grobledo@gmail.com"/>
        <s v="qguajardo@gmail.com"/>
        <s v="epaez@yahoo.com"/>
        <s v="humberto17@tapia.com"/>
        <s v="amadorgarza@yahoo.com"/>
        <s v="salvadorsuarez@gmail.com"/>
        <s v="silviafrias@hotmail.com"/>
        <s v="lilianaamaya@rangel.com"/>
        <s v="montanoreina@navarrete-botello.net"/>
        <s v="ivonnearmendariz@club.com"/>
        <s v="asuncionquintero@hotmail.com"/>
        <s v="dpolanco@industrias.com"/>
        <s v="flavio50@proyectos.com"/>
        <s v="lhidalgo@yahoo.com"/>
        <s v="yalba@corporacin.com"/>
        <s v="omarin@grupo.info"/>
        <s v="canalesgraciela@merino.net"/>
        <s v="calderontania@hotmail.com"/>
        <s v="ycabrera@yahoo.com"/>
        <s v="marisoldiaz@gmail.com"/>
        <s v="susanarodrigez@granado-mora.com"/>
        <s v="juan-carlos48@del.info"/>
        <s v="esteban25@hotmail.com"/>
        <s v="elena24@despacho.info"/>
        <s v="flaviorivera@gmail.com"/>
        <s v="oscararmas@grupo.com"/>
        <s v="fidelvazquez@estrada.info"/>
        <s v="enriquevarela@yahoo.com"/>
        <s v="fridalopez@mena.com"/>
        <s v="hugocedillo@gmail.com"/>
        <s v="mercadohilda@gmail.com"/>
        <s v="egalindo@gmail.com"/>
        <s v="ninosilvano@montano-rodriquez.com"/>
        <s v="jhernadez@yahoo.com"/>
        <s v="sarabiakarla@gmail.com"/>
        <s v="de-jesusnatividad@santana.com"/>
        <s v="karinacarrera@mascarenas.info"/>
        <s v="montezmicaela@laboratorios.org"/>
        <s v="carlotacastro@yahoo.com"/>
        <s v="jrobledo@proyectos.org"/>
        <s v="aguilarespartaco@luevano.com"/>
        <s v="carranzamaria-jose@yahoo.com"/>
        <s v="trujillosantiago@club.com"/>
        <s v="alfredosamaniego@grupo.info"/>
        <s v="cejamarisol@proyectos.com"/>
        <s v="amadorzoe@proyectos.info"/>
        <s v="ysaldivar@perales.com"/>
        <s v="fjasso@hotmail.com"/>
        <s v="esthersantacruz@gmail.com"/>
        <s v="warellano@hotmail.com"/>
        <s v="karla73@yahoo.com"/>
        <s v="elviraalva@sandoval.net"/>
        <s v="lgracia@corporacin.com"/>
        <s v="bde-la-torre@hotmail.com"/>
        <s v="pedrobaeza@caban.com"/>
        <s v="reynaldo69@gmail.com"/>
        <s v="sperales@hotmail.com"/>
        <s v="wde-la-rosa@club.com"/>
        <s v="laura43@yahoo.com"/>
        <s v="norma09@hotmail.com"/>
        <s v="alicia10@yahoo.com"/>
        <s v="zramos@bahena-maya.info"/>
        <s v="fserrano@vela.com"/>
        <s v="patinoadan@sanchez.biz"/>
        <s v="qcastellanos@partida-valles.com"/>
        <s v="maria-luisacaraballo@garcia-betancourt.com"/>
        <s v="rgomez@gmail.com"/>
        <s v="kescamilla@garza-olivares.com"/>
        <s v="valverdeadalberto@bernal-arellano.com"/>
        <s v="flaviorosado@yahoo.com"/>
        <s v="rzavala@yahoo.com"/>
        <s v="avera@yahoo.com"/>
        <s v="ballesterosvioleta@gallardo-jiminez.biz"/>
        <s v="nietohilda@yahoo.com"/>
        <s v="mariafernandez@gmail.com"/>
        <s v="esthervillalobos@covarrubias-montalvo.net"/>
        <s v="graya@quintero.com"/>
        <s v="silvano60@velasco.com"/>
        <s v="ycolon@gmail.com"/>
        <s v="margarita69@grupo.net"/>
        <s v="larajesus@industrias.com"/>
        <s v="pamela15@yahoo.com"/>
        <s v="anel13@yahoo.com"/>
        <s v="carbajaldulce-maria@club.info"/>
        <s v="rojohector@gmail.com"/>
        <s v="aalmaraz@yahoo.com"/>
        <s v="jose-eduardo38@hotmail.com"/>
        <s v="gabriela38@gmail.com"/>
        <s v="lopezdiana@gmail.com"/>
        <s v="pugasilvano@gmail.com"/>
        <s v="victor71@hotmail.com"/>
        <s v="granadobernabe@yahoo.com"/>
        <s v="mojicajudith@sauceda-mendez.com"/>
        <s v="pvalencia@marin.com"/>
        <s v="ariadna06@espino.org"/>
        <s v="znegron@hotmail.com"/>
        <s v="esquibellucas@gmail.com"/>
        <s v="bermudezleonor@reynoso.net"/>
        <s v="aldoescamilla@grupo.com"/>
        <s v="opaz@proyectos.net"/>
        <s v="oliverrenteria@rael-medrano.org"/>
        <s v="marisolamador@gmail.com"/>
        <s v="luztejeda@carrion.biz"/>
        <s v="cintronmanuel@gmail.com"/>
        <s v="homero86@segura.com"/>
        <s v="velasquezandres@laboratorios.com"/>
        <s v="lermaespartaco@yahoo.com"/>
        <s v="xcamacho@gmail.com"/>
        <s v="fviera@farias.info"/>
        <s v="teodorogarrido@barragan.biz"/>
        <s v="zoe02@yahoo.com"/>
        <s v="mesaursula@barragan-chapa.com"/>
        <s v="xlozano@godoy.com"/>
        <s v="felix81@madrid-samaniego.com"/>
        <s v="leticiaduarte@yahoo.com"/>
        <s v="guerrahernan@hotmail.com"/>
        <s v="kponce@yahoo.com"/>
        <s v="zeferinomadera@ramos.org"/>
        <s v="jluevano@grupo.org"/>
        <s v="rtejeda@pelayo.net"/>
        <s v="amayalucas@roque.biz"/>
        <s v="cgallegos@vaca-bahena.net"/>
        <s v="juana18@yahoo.com"/>
        <s v="bgranado@mata.biz"/>
        <s v="npedraza@hotmail.com"/>
        <s v="nvaladez@yahoo.com"/>
        <s v="aldomarrero@hotmail.com"/>
        <s v="luiscastellanos@club.com"/>
        <s v="carlotaacevedo@benavidez.com"/>
        <s v="barbara15@laboratorios.info"/>
        <s v="armando76@grupo.net"/>
        <s v="asuncion98@yahoo.com"/>
        <s v="marthabaez@gmail.com"/>
        <s v="oraya@laboratorios.com"/>
        <s v="jimenezirma@vega-mena.com"/>
        <s v="xreyna@yahoo.com"/>
        <s v="esmeraldadavila@laureano.net"/>
        <s v="montanezluis-miguel@industrias.com"/>
        <s v="nayeli04@villagomez-salcido.com"/>
        <s v="emiliano90@zayas-valentin.com"/>
        <s v="raulbarela@barrera-najera.org"/>
        <s v="veronicaalarcon@gmail.com"/>
        <s v="hilda61@grupo.info"/>
        <s v="jaramilloanabel@gmail.com"/>
        <s v="wmolina@yahoo.com"/>
        <s v="ochoaasuncion@gmail.com"/>
        <s v="bcotto@hotmail.com"/>
        <s v="vanesa92@gmail.com"/>
        <s v="arceliagracia@ramos-carrillo.com"/>
        <s v="marmas@gmail.com"/>
        <s v="villegasalejandra@gmail.com"/>
        <s v="caraballosocorro@grupo.com"/>
        <s v="mitzynevarez@barrientos-roque.com"/>
        <s v="mariano56@gmail.com"/>
        <s v="cristalfernandez@avalos-puga.org"/>
        <s v="mauricio18@preciado-acuna.com"/>
        <s v="marco-antonio11@proyectos.org"/>
        <s v="raulzayas@gmail.com"/>
        <s v="moraclara@hotmail.com"/>
        <s v="corneliohidalgo@hotmail.com"/>
        <s v="eugeniocano@yahoo.com"/>
        <s v="partidaisrael@ramon.info"/>
        <s v="umayorga@yahoo.com"/>
        <s v="coronadomodesto@hotmail.com"/>
        <s v="claudia24@industrias.com"/>
        <s v="tamezjacinto@bravo.info"/>
        <s v="ignaciocandelaria@merino.com"/>
        <s v="ppineda@hotmail.com"/>
        <s v="yeni67@hotmail.com"/>
        <s v="amandabarela@gmail.com"/>
        <s v="corralrolando@yahoo.com"/>
        <s v="cintronjose-emilio@rascon-najera.com"/>
        <s v="yamaya@yahoo.com"/>
        <s v="beatriz85@almanza-carrera.com"/>
        <s v="sergio69@laboratorios.com"/>
        <s v="ariastrinidad@despacho.com"/>
        <s v="dmedina@gmail.com"/>
        <s v="galfaro@yahoo.com"/>
        <s v="jaquelinecaban@muniz.info"/>
        <s v="alvaro06@yahoo.com"/>
        <s v="mitzy72@gmail.com"/>
        <s v="hruelas@gmail.com"/>
        <s v="olivia25@proyectos.com"/>
        <s v="fgamboa@yahoo.com"/>
        <s v="maria-del-carmen56@alonzo.com"/>
        <s v="emiliano63@gmail.com"/>
        <s v="roblesmanuel@gmail.com"/>
        <s v="zarguello@yahoo.com"/>
        <s v="estefania59@club.com"/>
        <s v="velafabiola@hotmail.com"/>
        <s v="sara71@lucero.com"/>
        <s v="alta-gracia96@club.info"/>
        <s v="murocynthia@club.info"/>
        <s v="carolina12@valdes.com"/>
        <s v="marianodelgadillo@proyectos.com"/>
        <s v="patricia66@hotmail.com"/>
        <s v="angel23@yahoo.com"/>
        <s v="almafajardo@proyectos.com"/>
        <s v="silviapabon@corporacin.com"/>
        <s v="htorrez@despacho.com"/>
        <s v="bravofrancisco@gmail.com"/>
        <s v="gabriel22@pineda-villarreal.info"/>
        <s v="maria-del-carmenramos@hotmail.com"/>
        <s v="rgarza@castellanos-cedillo.net"/>
        <s v="pbarrera@gmail.com"/>
        <s v="violetaorta@hotmail.com"/>
        <s v="miriam44@bravo.com"/>
        <s v="madridolga@yahoo.com"/>
        <s v="del-vallegabino@cornejo-valles.info"/>
        <s v="dvaladez@saldivar.biz"/>
        <s v="zcamarillo@yahoo.com"/>
        <s v="maytetovar@hotmail.com"/>
        <s v="monica51@gmail.com"/>
        <s v="horaciourrutia@saucedo.com"/>
        <s v="lmaldonado@yahoo.com"/>
        <s v="felipe48@proyectos.com"/>
        <s v="trujilloalonso@gmail.com"/>
        <s v="alvavioleta@grupo.com"/>
        <s v="victorialeal@hotmail.com"/>
        <s v="wgarica@industrias.info"/>
        <s v="josefinabueno@despacho.com"/>
        <s v="abrilbadillo@hotmail.com"/>
        <s v="ymendez@yahoo.com"/>
        <s v="hestevez@yahoo.com"/>
        <s v="esmeraldaguajardo@yahoo.com"/>
        <s v="sevillamicaela@villarreal.com"/>
        <s v="zmejia@club.com"/>
        <s v="sepulvedacarlos@amaya-ortega.com"/>
        <s v="barrazacornelio@yahoo.com"/>
        <s v="tvaldivia@alarcon.info"/>
        <s v="najerazeferino@hotmail.com"/>
        <s v="teodoro56@yahoo.com"/>
        <s v="oliver93@hotmail.com"/>
        <s v="aurora38@hotmail.com"/>
        <s v="vquesada@grupo.com"/>
      </sharedItems>
    </cacheField>
    <cacheField name="ID de orden" numFmtId="0">
      <sharedItems>
        <s v="53a9e98d-d57a-488e-bcec-701bc4e1ec3e"/>
        <s v="10c739f0-f7fb-4c8e-a239-ed1f5c295465"/>
        <s v="d7c9e19e-1228-4326-8b2a-cde42e222a67"/>
        <s v="91de2837-a873-4607-8185-7fa6844d2be8"/>
        <s v="4cfd7c38-6607-4b36-ab60-fb259d4e18b4"/>
        <s v="a4da2665-dfb9-46f3-b658-cc5d0505dd86"/>
        <s v="8d23f99e-11a9-4194-979d-e2f334eec6fa"/>
        <s v="a895a20b-523d-4f9e-a3e5-039259362c4f"/>
        <s v="14722e2a-7971-43ee-ac45-587157e6f198"/>
        <s v="7424e9fb-eb47-4eb6-b0ee-330eb470b214"/>
        <s v="a4b8a935-59ba-43d2-9d68-660ee91a5acd"/>
        <s v="9c8710a3-d9ef-4a00-9c0b-7c93d5fb8f63"/>
        <s v="eb72415a-2fdb-436d-a740-aa38fe92dba8"/>
        <s v="a9fee7b5-3729-4db8-815f-355ff6236823"/>
        <s v="1d366307-d6bd-4e44-b202-bab1ce141dbd"/>
        <s v="a076e80e-95f4-4b8d-8e0e-af032fd3e7e3"/>
        <s v="55a4140a-ad3c-4b67-9d33-7eb275fe9440"/>
        <s v="af1640cb-8d21-4be4-a497-cf19ebe3fa3e"/>
        <s v="7c7c5e94-04af-466b-bbd2-9ba60b16b6cc"/>
        <s v="fd56654c-43c9-4016-8183-cbdf6b382ba6"/>
        <s v="b510688e-fa24-4654-b955-0b6adeee039e"/>
        <s v="99bc21fb-dcd1-48e4-be06-9bd0b762b73e"/>
        <s v="38daf333-0f89-435f-9b2d-a6d639ff33df"/>
        <s v="cc9f2851-c332-405f-a3fb-1abae821a706"/>
        <s v="7ac1b8fd-c88f-4033-9061-4a7613449273"/>
        <s v="a1cb1e10-0e31-479a-b8bb-5dc909b32b66"/>
        <s v="3786d3a2-e035-4239-845a-3dce8eca0b61"/>
        <s v="06092c99-a04c-49aa-b1e2-81711e255109"/>
        <s v="428f89ef-5eb4-469e-b29a-14fcef36e9d3"/>
        <s v="c08f9ba9-0e32-4277-937a-eae40b912ab0"/>
        <s v="e8070b1a-de24-4296-b9ca-c4d62784eb47"/>
        <s v="19a6e9f7-0a45-4879-ab17-df6979e1e612"/>
        <s v="e1d56019-1e10-4a1a-9dff-bff7048987d6"/>
        <s v="a1278508-c2d2-4e1a-9ab3-cd5dcc25c9cf"/>
        <s v="afc92f17-61fe-4e4e-84c2-09515ccc8e07"/>
        <s v="116022d7-56fc-4596-aeba-30c58ab21dbf"/>
        <s v="c196a64f-ac47-4c79-b416-d0807432cfa3"/>
        <s v="2ad918fa-d68e-42ea-926c-414454fd8220"/>
        <s v="9fc06fba-9376-4e96-97f1-0aeca2f00a87"/>
        <s v="d1068262-a372-42f4-b5e9-48fa9a84b933"/>
        <s v="5c299656-4419-4c69-bdd2-2dc9b8af337b"/>
        <s v="581770ae-84a5-4fc3-ba77-826c11cb3e70"/>
        <s v="bb32f0ba-b764-401c-a691-3d59b0136679"/>
        <s v="538c9408-8b8b-4785-b9f9-cd2657097173"/>
        <s v="4e9e641c-a0d6-4903-8f6e-f87d90c24aa0"/>
        <s v="e98e23f8-e415-4062-bdbb-4e90ecd252c4"/>
        <s v="88268205-0f39-4e9a-9353-1a9ee68c009c"/>
        <s v="426433ea-0410-4d24-b435-247c7b633415"/>
        <s v="dca19bf4-3f5f-484c-bfdb-75c9ded28858"/>
        <s v="7594ffab-c88c-40b4-b851-6897e6230fb0"/>
        <s v="306238f0-70d8-49c3-bc3f-5c9df03698bf"/>
        <s v="13857721-e31a-444e-a2c2-774566eb5f26"/>
        <s v="a2d32009-f750-4260-8311-8300bd425ff8"/>
        <s v="fad038ce-1b32-4c25-85bc-38c2262677ee"/>
        <s v="4a70ae74-59ef-4f8f-98ee-d8fff858e22d"/>
        <s v="9ffc235a-1e2b-44c3-80ec-61b7a7d4cbc5"/>
        <s v="890c4fe3-a2aa-473b-a2ff-9c2704d3ac14"/>
        <s v="7413d048-5e1b-4043-9969-89781ce744b0"/>
        <s v="40b3bbac-c623-4647-a606-b5af9a39c69f"/>
        <s v="af87cfff-afb0-4f85-888d-e5db29ae4766"/>
        <s v="f0548b33-86eb-4b3f-a1f4-cef9f9f11955"/>
        <s v="972dd545-20a8-49a2-be8a-93f570eba58b"/>
        <s v="6b47665a-5972-4a11-a9e7-d42e56cf42a4"/>
        <s v="8e55023b-2774-4015-86a2-780e882c0d87"/>
        <s v="64e8cb7b-f59e-470c-b704-3f79a8f2cc9e"/>
        <s v="dac843fc-5bc0-475f-a01e-8c48a965a9c2"/>
        <s v="fc8a05ee-e84e-44f7-96be-898033a352b4"/>
        <s v="c1103728-e36d-48da-ba95-42c7fc1ccca5"/>
        <s v="6a83774a-e4f8-4c9b-ae75-2c985e801156"/>
        <s v="03d8d67d-53e4-43e8-bd00-72801ff4e987"/>
        <s v="be245970-0c63-4d78-ae9d-e25f66cad9cf"/>
        <s v="50843e6d-c79e-434b-87b9-c3050b4bcc8f"/>
        <s v="bddbebd3-8d7c-4f54-b99a-707a32de78d9"/>
        <s v="a65e1da8-d4c4-4925-b15a-eefb65f84daa"/>
        <s v="44eb6606-bfe9-426e-8e4f-c7683d27a64a"/>
        <s v="b033c422-b86e-4729-a448-c047ea02bb69"/>
        <s v="c2384374-01f4-4848-97cd-a1327649abfe"/>
        <s v="9fa9acba-1ca0-43da-be32-3ee4f9804f9e"/>
        <s v="b17b1651-8264-42dd-ac16-7674416db2f4"/>
        <s v="165c0023-40a6-48a9-847c-8e2378c194fd"/>
        <s v="8f822140-8a36-4160-bf5d-68a254229e14"/>
        <s v="70a2c437-9cb0-4e0b-9cd5-ec6294260bb1"/>
        <s v="36cc47e7-ea9e-410e-ab8c-53adeed2d905"/>
        <s v="6c3fead4-1fe5-4288-be37-3b39d5d98304"/>
        <s v="a7a8f827-451d-439f-95ca-6682c5127351"/>
        <s v="8dcb205e-e032-4baa-a658-7e640f07fe1e"/>
        <s v="0a037e7f-e874-4665-a3e4-734c560a30f9"/>
        <s v="9cba1b15-28fd-439f-af54-d9a1bf7128b0"/>
        <s v="1a70ed1b-c3d7-4e03-b54a-3308b332ece5"/>
        <s v="8cbf9f9b-f7d4-44ca-9484-0940e88fe51a"/>
        <s v="6321df0f-9103-4ad4-8571-120df4dd675b"/>
        <s v="cb4fece9-bf8f-4e7d-8218-b9d826729e46"/>
        <s v="a279348c-c747-4e18-b056-f066a8c54d22"/>
        <s v="54ac59d8-1eda-4373-bd55-691a4a1a13f9"/>
        <s v="278f1d63-6044-406a-b286-8ed51ce0b45a"/>
        <s v="f2f8a751-e6da-4e2b-b90b-7189fd4833ad"/>
        <s v="f34bc8a2-d539-45c5-a4cb-e23ab3ad1bf9"/>
        <s v="76fde716-641c-4ff4-848c-ade7a38970de"/>
        <s v="8cfb7643-588b-4ac4-8843-ef2886b4bbea"/>
        <s v="f0d38b06-2059-47d6-9f56-aefc70f2727d"/>
        <s v="969772b7-82a9-4281-b808-f08dbacfaa54"/>
        <s v="92461461-c9c6-41f5-ba8b-7e68bb7088ec"/>
        <s v="041c1c21-48c4-49bf-8301-a26b4b366c97"/>
        <s v="0db62a2e-44b2-4c21-8063-f5b1546b6955"/>
        <s v="8d1f42be-4310-48c3-951b-e030b1423297"/>
        <s v="7fcd384b-a0e3-4e0f-a707-c4a8a1b4c112"/>
        <s v="3a57b856-992a-4aa3-a497-f62acef32235"/>
        <s v="21eb6780-a2cf-4959-81fd-6bec09658cd0"/>
        <s v="4b66bc0e-757f-46df-8fd9-af3d9751bd47"/>
        <s v="0d3db73a-8164-4ea7-82ec-bc976d02b86a"/>
        <s v="af40dcd7-913c-4661-9539-8e5b477bae0b"/>
        <s v="8a1ce3fb-e2c2-4c33-8f15-c428f8a97642"/>
        <s v="731cae55-5431-4c89-89e4-ae12557b88e2"/>
        <s v="fa85138f-7fb2-499a-acc2-02957ef92673"/>
        <s v="13dacdaa-eb35-4a33-acaf-5c98625d9304"/>
        <s v="748ca89e-cc7c-4b74-9211-5c7153943bea"/>
        <s v="ef211983-e418-498f-bd94-b407618f19f2"/>
        <s v="46208692-578c-41c7-a7ca-6da2fc87ff43"/>
        <s v="c959873c-5ee3-4647-bd0b-df86bd37e523"/>
        <s v="a735a980-0215-4741-924f-a6525c85f916"/>
        <s v="298b36d0-dae0-4465-94e0-f5a242f44bd5"/>
        <s v="826d9505-bc85-407f-95a3-b12b5fe5566b"/>
        <s v="1bb7ccf0-5ad1-49e5-831c-01f403e1e8ae"/>
        <s v="8ce73f48-2cc5-4586-974b-db612bc9d6ae"/>
        <s v="b07b2920-9fbe-4a2c-ab22-d232c3ad228c"/>
        <s v="57a6f553-cfd0-401a-ab8d-e08db3b7b54c"/>
        <s v="e17b8e31-1444-4e73-8d2e-98e479a23fab"/>
        <s v="a84bc74c-2d98-4331-a5a9-c762bb61fb2e"/>
        <s v="a87e348f-adbc-474d-84ab-934239890915"/>
        <s v="d9c044d0-2d9f-4974-b4ef-0cbae299e695"/>
        <s v="ed2140fd-8a01-4a73-bd2d-02153d2e7f26"/>
        <s v="1c3f2222-1db8-46db-876a-6f85812ebbbf"/>
        <s v="78bdd5ec-2c8a-49c9-918e-bfe3147b65c3"/>
        <s v="05462222-2134-4569-8058-16e2b626c19b"/>
        <s v="028c3012-bbb3-43aa-964f-69aba65f05aa"/>
        <s v="b3ac9ad7-3336-45ee-8e9c-45dd90295e61"/>
        <s v="a8f00c77-f3a2-4ae2-a236-7df93148023d"/>
        <s v="b87357bf-0adf-494c-9fb2-d5fb5810088e"/>
        <s v="1abba075-8634-44a4-b6c5-0ea6c8708df0"/>
        <s v="972e7cf2-8e0a-43e6-a952-bbda3382870a"/>
        <s v="ec133e61-2767-4fb0-ab9c-665b9e47a3d2"/>
        <s v="0281b754-3298-47cb-85b3-b7e7a8c57bab"/>
        <s v="5eb46f68-93f4-40bf-ade8-2f3822a7d3fe"/>
        <s v="4473af02-2d6e-42ae-8fd6-1e6eb2b0c846"/>
        <s v="a12e4ea3-c46c-4bfd-9028-7458aa0b25d1"/>
        <s v="41fe435e-4e1c-498f-8112-8a52ebd37db7"/>
        <s v="ac86de05-18a9-4269-876c-d1c20900fd8f"/>
        <s v="ce229233-81ec-4127-be94-95ce93175cd4"/>
        <s v="56137b69-5c0a-49a2-bc0e-cd99b52af4b9"/>
        <s v="15c161e7-84e8-482a-963e-a7e6326abc14"/>
        <s v="bda4c76c-8205-4def-8d46-9d2d6a40365e"/>
        <s v="39880590-7dce-48d2-a8b2-dcef91f42511"/>
        <s v="8961a6a3-8576-4db8-bcfd-98eaefa53976"/>
        <s v="53b6bfd4-05a9-41c3-adeb-dfaa20821700"/>
        <s v="51322ec3-e52c-417f-9f2c-20ffb25bf684"/>
        <s v="59db14ef-c72f-4719-807c-e681756eb5ee"/>
        <s v="a05c93ff-9a7b-4d33-9591-f2fbfbc01017"/>
        <s v="16c09f74-0932-405b-8587-0165634b10b3"/>
        <s v="6bbde35c-e30d-4e24-884b-5b00ccf47e4b"/>
        <s v="0e28ad98-fe18-44a9-9a89-466a166843e3"/>
        <s v="467ff27d-c3d7-4928-bade-34474e2a754a"/>
        <s v="0cede563-5f38-42bf-93ca-f67930084cf1"/>
        <s v="4143d835-b0c6-4920-b3a2-df5339be92e0"/>
        <s v="6e634080-3cde-4f41-b8b8-f7a29d0086fa"/>
        <s v="5118c46e-3697-423d-b0f6-bcb15c09e38d"/>
        <s v="673092af-8716-453b-88f4-efdc6f33c1e5"/>
        <s v="757f4440-b8cd-45b5-9b13-c97ac0e0b03c"/>
        <s v="ee97ba16-5d7f-4349-b9a0-cc9069b8707b"/>
        <s v="2f004d71-2bd5-4fdb-a629-c4409dbaf7b8"/>
        <s v="f175c4e2-a107-42a1-87d8-ae02bbeada76"/>
        <s v="7c83c051-cdef-4ee9-99b8-ab628e7e0137"/>
        <s v="2ecd07a3-c49e-486f-a9f0-9a7b1dc20737"/>
        <s v="7973d01c-f337-48a1-8f89-e3be9acd41ae"/>
        <s v="36046905-c325-4177-8dd6-ef3a3eefbe09"/>
        <s v="159a0e2b-f468-4295-9e69-b0d9dd79d890"/>
        <s v="32958c32-9158-41e9-a53a-1fc911df997a"/>
        <s v="5a5c3350-ddcf-484e-8349-4b078818dfc5"/>
        <s v="62a79a02-2ff5-4434-a42e-150fc8d403dd"/>
        <s v="a2820ce9-6172-4e14-acb4-dbc156430397"/>
        <s v="41cf07f1-c8b8-4719-8e87-4c6a66e4a90e"/>
        <s v="39df2d77-4667-462c-a9a5-a4502b01e2af"/>
        <s v="6486d7e7-8b63-4036-a105-6f846c2be7ab"/>
        <s v="1a1b2b13-06f4-45bf-a9e9-678df211aedf"/>
        <s v="87c5ffd3-6c28-4101-af3b-154ff4ae6392"/>
        <s v="d4f65876-1ffb-4376-ac69-30bc4a1f11d5"/>
        <s v="96edea28-2897-4637-85bd-60acc395c4c4"/>
        <s v="758acf48-c5d8-4ad9-8a21-e3e1440e091e"/>
        <s v="68461278-65b9-41b1-b4b7-f73c4451f4cf"/>
        <s v="45b0ad4b-932c-441b-b413-53565decfa94"/>
        <s v="1dada63c-2f5a-48d7-8e04-d26aacd30687"/>
        <s v="0461093f-4c28-41d9-b8c1-8f858b8a8164"/>
        <s v="95e49e46-be39-496b-8a9b-52bd39505406"/>
        <s v="b530707f-4d7d-4afc-bde4-e36c5328a487"/>
        <s v="8a075c13-f70b-4b5b-909b-e961bf332236"/>
        <s v="2acb1d18-6de4-4e08-ab0f-a43239b072ab"/>
        <s v="ec823a46-e1bb-48d2-a563-9abba872b426"/>
        <s v="bf0d8fdb-9d95-48a0-8ea7-0981d07129f1"/>
        <s v="9a710806-780e-4656-b1d2-a4266eab7458"/>
        <s v="b8d7d438-42a6-490e-878a-eabf47bc2626"/>
        <s v="102bcf63-b887-46cb-8d4f-8c9404340da9"/>
        <s v="26d71239-8773-4f98-a147-880cc7ae84cb"/>
        <s v="08148c4c-9768-48b2-a627-96eb9c4ecb15"/>
        <s v="2d413f59-b03c-479d-84d2-e6d17034f1ce"/>
        <s v="8b0b8f3a-d8c5-47fe-9e94-09d8d82d6464"/>
        <s v="6658ba19-5ccb-4206-84b8-fcfc241901bd"/>
        <s v="5deb41b9-32d8-431b-91ea-ba2fc94ad0f0"/>
        <s v="b159a2a3-ef00-43a9-86db-5aa4f2337f02"/>
        <s v="fcfe31f4-1827-4f08-8c09-fac8682e5bbc"/>
        <s v="699048e6-5415-4dd4-ada9-8e6e4a549eb2"/>
        <s v="ff0b4f20-17ed-4610-9fc5-30d4da7e79e4"/>
        <s v="cd9cf7e0-6da4-41df-8be9-2d02844b1c31"/>
        <s v="de92a9b2-739f-4ffe-aeb7-97d14d474602"/>
        <s v="d513a436-d4fe-4ff3-8ec9-e92a32ed8cc7"/>
        <s v="bd82514d-6aed-4ca8-885d-60312b6b736b"/>
        <s v="9e5f6867-749d-4b5b-97ef-2330c2558d3d"/>
        <s v="afbe8b22-f099-435c-a4a9-2882252b6103"/>
        <s v="df30a4f3-dbd9-408b-aef6-130263821f4b"/>
        <s v="446489c3-d916-48e8-af47-535cb42956ac"/>
        <s v="56344cb2-c22e-400d-87dd-49a631ced56f"/>
        <s v="1a50b4b1-1657-4b5e-a237-9cfb5c083efc"/>
        <s v="bfe71cbd-5340-41ca-b9f4-c5301c10428f"/>
        <s v="3c957274-31de-4637-8c46-828eb2c095e9"/>
        <s v="a54ade2d-7062-4dcd-a41a-a92c117729ad"/>
        <s v="c4d429ce-cdcb-4f2a-b91c-26eac3db495e"/>
        <s v="75ce132e-b6d1-4542-be19-8b8ae4cfee4c"/>
        <s v="862a25a8-b572-4c67-85cb-bdd2f7503da7"/>
        <s v="03d30ca8-82a1-4711-a969-6585129ef1c6"/>
        <s v="42eeb64c-1110-40be-a856-c0a364fb8c30"/>
        <s v="261825fa-a4ad-4a21-a7ab-e2b644eaa67a"/>
        <s v="fa9e790b-934a-4153-b8d1-cb8319d59c61"/>
        <s v="0e47c0df-dd8b-487b-8097-21c972837f36"/>
        <s v="d220d617-88a5-417d-906a-713dd8d57f69"/>
        <s v="656f3966-abb8-497a-981c-4e2bec529c24"/>
        <s v="a98bfa4e-dd81-401d-b806-a98b5c514056"/>
        <s v="3341556d-8dc1-42f2-b455-3a339ff909cd"/>
        <s v="f0291dc4-c15b-4bcc-97f0-04c50c8926f6"/>
        <s v="3217ab5c-f143-443a-aece-3a47846a3ff2"/>
        <s v="60d8025a-b531-49e9-a8a9-cc068cf74685"/>
        <s v="d9c1410d-a481-442e-a55e-c877ab1e7b3f"/>
        <s v="0cf77e4b-7fd3-4462-8680-6cbd693e9c0f"/>
        <s v="46378c72-4067-4729-b1e5-3d39203ab930"/>
        <s v="60961cdf-09a7-4a32-8c6c-2d05f517439d"/>
        <s v="9d83faf6-b95d-4623-85a1-78d8b416dd3f"/>
        <s v="7a66e4f7-bc95-4384-85ad-39070d893921"/>
        <s v="d5751f29-c753-47da-9e7a-d5ed1090b0ad"/>
        <s v="817537ef-9729-49a5-8458-d7108a639dab"/>
        <s v="15d306a8-d422-44fb-9ae9-88cc0402b65d"/>
        <s v="0ada26be-f753-405b-a1a4-3599df81e700"/>
        <s v="c499769d-908e-43f6-bd30-c1817bd0deff"/>
        <s v="1c44a1fd-cb0c-401e-8e21-c1a8d9242148"/>
        <s v="bc02e752-e8f9-4729-a7cd-24ba1ff00164"/>
        <s v="8dbce9a8-4e8c-41c7-a836-12fe71b7ad0a"/>
        <s v="b3d5e0b4-2834-4e54-a96a-d9085614ca23"/>
        <s v="4082ebc9-a484-41c7-ae7f-fcdfa5f8c7f8"/>
        <s v="a6735135-46d8-4997-ad55-d449e18fd075"/>
        <s v="4c53a9db-d0fe-42d8-a909-921633d44173"/>
        <s v="c46fe29a-c3e5-4c00-b9ea-94b719c84734"/>
        <s v="10459092-6977-440d-ad85-b85e03763cf7"/>
        <s v="9c66ca34-d486-44b8-bf48-2843a252f7a0"/>
        <s v="80c340bc-bd50-477d-a7dc-27237bf10b22"/>
        <s v="357c27a8-d03f-45e6-be30-3565ec6d4ff5"/>
        <s v="c6f0a1e2-99c5-4a17-b0d8-ad6d416c81cc"/>
        <s v="f4841777-97d3-4cce-bc0f-17c21f34e253"/>
        <s v="7d131cdc-d20b-4dba-ba8c-67f9adbbcf3b"/>
        <s v="b7d845eb-4a64-4099-a793-3f93363ea49e"/>
        <s v="75b08c4a-c440-4f59-a757-c070085c6101"/>
        <s v="8204039a-5541-4976-bc5b-19da90d1ecf0"/>
        <s v="97a11539-f994-4f4b-9252-85c25f05e297"/>
        <s v="e686ffbf-1106-4e80-9c74-30ed3ca60174"/>
        <s v="95d058cf-b6bc-4829-8814-0306aba9f164"/>
        <s v="5b24d4c8-65a7-4ec1-8ca1-f46584e4d7f7"/>
        <s v="98bc06e4-82c3-4589-93d7-e941e1ae7c85"/>
        <s v="49d7397b-eb15-4d2d-b30b-8f6ca86b2125"/>
        <s v="d59afe7f-49e3-483a-97f5-ce81f54d250f"/>
        <s v="34e4f422-3bd5-496a-af08-11ecf5856460"/>
        <s v="0d9c3f44-a748-478b-8652-36bac0fde7f7"/>
        <s v="404fea2a-d896-4427-a0d6-e0581df99ba3"/>
        <s v="bfb5f658-102d-4d01-bec2-1f4cced1bbef"/>
        <s v="c100b479-c169-4f62-8d2a-82994a8ef0fa"/>
        <s v="11a0323a-7513-4fd6-84cf-79c923b2e72e"/>
        <s v="d58eb71d-bd78-4ec3-8a70-34213c01464b"/>
        <s v="814e531c-1781-4af9-86e2-0da4494565c9"/>
        <s v="499ebdfa-358c-41aa-8d92-cc8b5259dfd0"/>
        <s v="5659c3e8-e722-4ce4-a66f-283a33db3b2a"/>
        <s v="d710fc03-2b70-47e7-9fe6-590b75fdde09"/>
        <s v="850ed2df-b6ba-4845-90f3-4d82ffd954aa"/>
        <s v="5c84518e-8046-4ee0-802c-5c7e6eafa4c6"/>
        <s v="4bf38add-780a-44cc-839a-27eadcf0009e"/>
        <s v="8a06b4fc-26f2-4b8b-827b-2c6a1f537edf"/>
        <s v="36de6ea0-d38c-4032-a4ab-885c917e6447"/>
        <s v="dd6c8ba4-bdce-4e89-8a25-248a85e34e96"/>
        <s v="b9c6fc20-68c7-453f-b881-23c480cd6bd2"/>
        <s v="b2ccd416-d146-4511-9bd6-7eb3bd7333c6"/>
        <s v="e469cff8-fcc0-4664-b06d-c801efd84779"/>
        <s v="d06b5f3f-acab-4f8e-bf1a-8c1dfe18228e"/>
        <s v="d0cc2a3f-64b1-4463-bad8-280dbaa0e01e"/>
        <s v="0a194163-91a5-4990-a439-13d2a04cdd0d"/>
        <s v="63646080-8a8e-4da1-9008-d9bbefce4fdd"/>
        <s v="c6836bfa-f154-46e7-81fa-88577b4553a6"/>
        <s v="00f3b5c0-94a8-46ed-a8a8-4d11bde44da7"/>
        <s v="d8feecfb-981d-4008-b113-8a7aba34e4b1"/>
        <s v="5d5d2fc9-2318-4ab5-b209-bb096e9dc1a1"/>
        <s v="239ba516-3ba4-4ab3-afd0-e7520e4284da"/>
        <s v="6563276b-f905-470d-b64b-37b07114a824"/>
        <s v="892ddf8c-3dff-4e70-bc34-fe5c8d39a78f"/>
        <s v="a684008b-46bc-446c-9f1d-5210c524215e"/>
        <s v="3f4e6744-9808-4bca-91b6-ef2b005468ab"/>
        <s v="594ee58d-dd9f-43f8-bbcc-5f4716f3b8bf"/>
        <s v="61cc0a01-493f-48a6-8973-8cc3bf69bd4b"/>
        <s v="0877fac4-86db-45ad-94c8-6b0e1624953f"/>
        <s v="4e35c600-2a16-4f28-9de5-5ac2151674a5"/>
        <s v="710a2493-760b-4c29-8181-ee456d867a10"/>
        <s v="a406d85a-6020-4738-b3ed-53d680678126"/>
        <s v="7a847fe9-f974-4d38-9d3a-114f4c95ca6c"/>
        <s v="b5d71709-4790-49a2-b5ad-435f7ed9b979"/>
        <s v="b34e56ee-bab9-42ce-a5f4-4476f3368f27"/>
        <s v="98d1bc59-ba9c-4923-b9cd-06d3c57ffe57"/>
        <s v="2fcfe31d-bbe3-4d02-997b-2a688e44aa4a"/>
        <s v="29b35046-a922-4222-bb43-d4f2e673f05e"/>
        <s v="c048f440-4471-4f5b-8f49-4805f745f284"/>
        <s v="6a533065-10e9-417f-90b8-cc321916284c"/>
        <s v="2feb799d-af20-4c3b-99b5-36c59009058b"/>
        <s v="213520c6-9cb7-434b-bd54-ffac25a0f0c9"/>
        <s v="448e14d0-eae1-4771-8c1c-dd1f4ea21088"/>
        <s v="ad71df5b-e541-4c69-a100-86824806dfcc"/>
        <s v="a7dfe4eb-5eeb-4472-bdee-bc2113869dcc"/>
        <s v="86e384a9-c2a7-45ca-a673-368c949b7a96"/>
        <s v="31af08be-2649-4947-9338-28fb518be843"/>
        <s v="db925419-778f-4d29-963a-7f15f6e37629"/>
        <s v="bedb2d59-276e-4a43-a057-2331a8689f9f"/>
        <s v="1f9cafc0-71e6-4941-89cd-cd0654b8509f"/>
        <s v="6685e5bb-9081-494c-b6aa-422ddb87955d"/>
        <s v="437715f5-b663-4ceb-8e4d-01760b5c39e8"/>
        <s v="fe56b9b6-8658-46ab-b178-142e1c6c32ec"/>
        <s v="43e6f253-5964-4977-b9a4-0e5736909a2d"/>
        <s v="8cbd3d88-e898-4121-92bf-4315def5c26b"/>
        <s v="df469a69-84f1-42dd-80d3-89ef0d15476d"/>
        <s v="4f8944d0-df82-4668-beab-3dcdc6f3cf2f"/>
        <s v="2c896ee7-2283-43d2-9ff9-44e43322ed6f"/>
        <s v="5d97fe11-f95b-42c8-8f10-ab98a05aedf1"/>
        <s v="1af3b08f-465e-4aef-884a-7fb512a724c1"/>
        <s v="0c2c5144-f911-42db-bd29-5f8d9540954e"/>
        <s v="33b5cb0d-ba44-4160-8e1f-1175cb33b310"/>
        <s v="344db87d-a5d1-4172-aec9-fa915cf7c5b7"/>
        <s v="50132920-f6aa-4e4d-8964-c48df8dcf12f"/>
        <s v="1ee6182c-86b4-4ebe-b5e3-4e371ac515a7"/>
        <s v="67e78427-8d9f-40c5-b32d-df9777d2029d"/>
        <s v="2b9e4412-7cfc-4c93-b65b-fdd1b959ea0f"/>
        <s v="f3f6eded-9605-463d-befb-0ec09cb7398f"/>
        <s v="8ad2a9d2-c3c0-4b9e-8d31-bc798c2a566c"/>
        <s v="9376962f-fb7b-4390-9eee-6e8d5c685697"/>
        <s v="499a27b8-9b8a-42df-848c-279a1fb88d7a"/>
        <s v="208bb22e-749f-4a4a-a2fd-3ec3a0703858"/>
        <s v="24f20540-a81a-4ad1-acf0-df3af36dae7d"/>
        <s v="7a1fbf36-eb1f-47d5-9a36-263dd8af1257"/>
        <s v="26650ad1-0a4e-4c43-b8b0-99095f0adc66"/>
        <s v="3cef5bc2-1b15-4ce6-a4a3-3a3e5951e220"/>
        <s v="4166e455-ac94-49a0-9bd8-7a5c8a17ac45"/>
        <s v="0a5787f4-b611-4db3-9a36-d6bd45f0ce8e"/>
        <s v="c433376a-096b-4d0c-b385-da369f628996"/>
        <s v="f04eeda0-c720-4430-b322-240c09bd8019"/>
        <s v="4d35d453-5b30-4e58-a33c-a870dde7a68f"/>
        <s v="ee1c498f-9419-41b5-aad7-950f328bcf29"/>
        <s v="1721608b-9124-49ea-8ec0-ea350388ca09"/>
        <s v="715a22e4-0dbf-4ab3-9d6d-bc8cfaed54f3"/>
        <s v="4185aaab-33a2-4e6e-bebe-5b6cf12100d2"/>
        <s v="5b96a097-c481-4d3e-86e5-63c57b646a68"/>
        <s v="89989cae-b728-4235-9a32-5fbf288f2094"/>
        <s v="3cad7de1-68ae-4cc7-b586-20c1f7e16a6f"/>
        <s v="43dd123c-830b-4e71-8f96-a6643feac4d9"/>
        <s v="d7d84721-5bb1-4a4d-b1af-1660508cc586"/>
        <s v="5b8c2387-f4d6-4823-8d42-a41707a832ef"/>
        <s v="b97d18e7-1657-470e-bc41-0860e9f0889b"/>
        <s v="512f8818-bb8d-466a-9f10-79bd8f52408b"/>
        <s v="c9d412ed-c316-4612-a0d3-34580de6a8c0"/>
        <s v="0290472b-3bf5-4451-95ed-11349e543e25"/>
        <s v="de4c96f0-b965-4289-ab99-9976cb8ce9b5"/>
        <s v="6a272f91-94e7-4624-af64-2a57ea5ea246"/>
        <s v="c744e13d-7463-4060-ba2d-cdabdb1c3b2d"/>
        <s v="20632308-0231-4070-97bf-4fc82c188f74"/>
        <s v="9183f20d-2692-4cfd-9433-54c64739a537"/>
        <s v="63bf917d-0951-46b0-8ecc-bca9b657690f"/>
        <s v="c800eb85-be04-43c5-950c-4be1b628b942"/>
        <s v="3d80365e-3ca4-4c40-b7b5-8655955878bf"/>
        <s v="df1772a5-47bc-4e80-a07f-cca86b2ebcdc"/>
        <s v="0bbe7dc7-b837-4dff-83eb-a691bf3d9337"/>
        <s v="c0e13eaa-0352-4ecd-87d9-f5acfcbb40df"/>
        <s v="50041cfa-9dbe-4a33-855e-dfc293e0392e"/>
        <s v="7d923bc2-e260-42ce-af34-40f80a5bb97e"/>
        <s v="a0229848-67ee-4a81-b13f-f722ded36349"/>
        <s v="dbe8b52b-292f-4415-82d6-3dad0ebf96c7"/>
        <s v="efd76242-e0b5-4aca-8c44-84ce7f553f97"/>
        <s v="74aa1913-0ff5-4bb1-b6ab-0793b04293d5"/>
        <s v="770c656a-1e48-4e6d-8a82-6d225a04964e"/>
        <s v="9b5f5828-58aa-4107-b467-e223f64cae41"/>
        <s v="5adc0581-cda3-450e-9af3-c3c10c954910"/>
        <s v="9ed12598-d607-406c-a92d-66e498a65727"/>
        <s v="077fd234-6153-410d-a149-184f01f2e37a"/>
        <s v="557a8a9d-fb81-41f2-9c1e-7c5651463eae"/>
        <s v="5548f892-9c81-4567-87e7-399e543e91d9"/>
        <s v="147138ab-2800-4faa-9770-b5aac577f7f3"/>
        <s v="4f7b91d2-aac8-4620-9241-12ffa5035fae"/>
        <s v="e4cf76ae-abd2-47d4-a0b7-6238612481ae"/>
        <s v="76bda0d9-e9f9-4356-9c98-ac7e6cc773af"/>
        <s v="08b75205-ce56-4b95-a64f-9819304e40e0"/>
        <s v="be84e0fe-9e4b-46e0-be04-6f0f71667755"/>
        <s v="6df2b0ce-9ac0-4cf2-946a-557bf24c972f"/>
        <s v="279ccf00-0de5-4813-a6ed-58a52bc1a5ad"/>
        <s v="8f7b25cf-e88f-4704-9a71-5fe4e6e4d0c9"/>
        <s v="8429854b-a406-4cf2-9cdd-ed466b843f6e"/>
        <s v="df7faa34-7de9-48f0-8ba1-2897a5b1e8fd"/>
        <s v="6b1218cd-9317-4016-8163-c9066aeb1992"/>
        <s v="a7ec5218-20b5-4ecf-b899-d9c26fa6614c"/>
        <s v="2a51a5bd-6af1-4306-8be1-f8bb0f7106d3"/>
        <s v="21534354-fc0b-48d9-9d78-62a4badc1a43"/>
        <s v="2928f18a-0aa5-4ac6-90e5-f816a534a90a"/>
        <s v="111af87c-5fa3-4502-94ae-5ee5b28a52c9"/>
        <s v="22325f75-012a-4872-929d-f3dcad77dde8"/>
        <s v="8faa345b-0095-4a30-b89a-79a7b53e217a"/>
        <s v="17ce4fbf-b0f5-4e3b-aeb9-956b5c881168"/>
        <s v="7ca60689-ffdb-4ad9-b339-4085c13dfc70"/>
        <s v="54fb7e8c-ef1d-4daf-815b-e5c1e7948ed3"/>
        <s v="51261e24-fd4f-491f-82aa-f60c2d85e228"/>
        <s v="dd4ae052-c48d-46dc-a438-fad5a215831b"/>
        <s v="627df819-fafe-490b-ae7e-587db323ca23"/>
        <s v="200bbda1-4911-48eb-b2f0-a013eecdf376"/>
        <s v="68c5e3c1-7b1b-43a7-acde-3a8ad2cd8bac"/>
        <s v="c04d55c7-13f0-4d59-820e-72c4f05b3e9a"/>
        <s v="6fbf18c0-1d19-4cf9-b5cc-83d5970b7678"/>
        <s v="01033810-39b1-401b-94e8-71a15ff61d49"/>
        <s v="27c73c7b-510b-4161-81d3-83559a1ad5b1"/>
        <s v="7ba0efb4-239e-4695-a171-7e53a2d5321c"/>
        <s v="38bac1f5-8a77-4803-a105-2adcca972ed6"/>
        <s v="1c737d8d-798a-48ec-948e-46c132c3393f"/>
        <s v="fa3bf710-eb5a-4873-893c-d6a73dc7c4f9"/>
        <s v="93eed3fe-4660-4b73-ac92-7b7bf72ad00f"/>
        <s v="ff3bf349-be3d-4ed5-a05d-026306680047"/>
        <s v="50ca8d12-6f3b-4d72-852c-ddb04e41ecb0"/>
        <s v="3ee7965a-242b-453a-bf95-82e9c7bb26d1"/>
        <s v="60fe9134-df81-46f3-ad0a-16da706fecac"/>
        <s v="69e33745-af53-42a9-8a08-ab9b741268f8"/>
        <s v="54181b0d-ea89-4121-a212-605c632d4222"/>
        <s v="df7beeeb-1466-45c0-b687-7861cff4c459"/>
        <s v="4466335e-c645-4d4b-a152-4044038bf97c"/>
        <s v="a60e107a-d3cc-46c7-9a8e-b0aa9cfa7817"/>
        <s v="569d9a75-753b-41b8-9540-1368ec0acbe5"/>
        <s v="f76306ca-536d-4c20-8a36-77c9fc49afc0"/>
        <s v="d8b5d3e5-0632-4dbf-9b3c-2094a15de8e8"/>
        <s v="89fcd453-c6b3-469a-96fa-b54ec64f874f"/>
        <s v="4c0c62c7-01f1-4c1a-be44-12a93c7d2e39"/>
        <s v="838f9377-c59f-4f9a-a769-8126696776e4"/>
        <s v="0c6b7809-83fa-4fe8-ae0d-766b000834e5"/>
        <s v="873e756f-1f4a-4de6-90ff-4cb697b1e8fe"/>
        <s v="a5740e45-38d1-421a-8d38-8a6d427463c6"/>
        <s v="055f940c-62c7-485e-a8a9-6e6970c4bd9d"/>
        <s v="2a34b394-3a83-4acf-a98b-738080cc0de3"/>
        <s v="b138908b-b0cd-458c-9da0-707f94b0ffcd"/>
        <s v="f055f3a8-2041-4c8b-a2df-fc620ea22103"/>
        <s v="3f395849-b4c1-4e2b-9b2f-e88f10b94e05"/>
        <s v="fdba0744-ad19-42dc-a09e-8fc306cf7732"/>
        <s v="8ea7037d-ea94-41a9-96b7-83c29d8264c3"/>
        <s v="b76b9aa0-31e3-4e6d-905f-d7fc227d629a"/>
        <s v="8588db90-3e5f-471e-8500-c89cbc6d1623"/>
        <s v="2f83c135-17e5-4888-8b31-f505c0170e5e"/>
        <s v="30697ee3-c6f1-4277-b269-c3c951095f84"/>
        <s v="8018872a-4ec4-4b51-8563-8d9d85f09396"/>
        <s v="b5b62540-d5f3-4cd3-bdd3-48312389c2db"/>
        <s v="ac1d0457-8737-4d32-adc3-08dc6711b75b"/>
        <s v="8a373805-0041-447e-8540-70bded3c26c5"/>
        <s v="aeae3ab8-cc1b-48bb-8dc8-c1ece4d21277"/>
        <s v="3820b6cc-8345-41e5-85aa-bd7f843a64c7"/>
        <s v="86e77ae0-7bda-40b1-a21d-bd010a7db5de"/>
        <s v="27424277-2200-4cc7-a0af-4c423a089f4b"/>
        <s v="32755cad-98f9-4eda-8888-7def2a0dd965"/>
        <s v="1e7c8a1d-abaf-4fac-be1b-22c8312a6026"/>
        <s v="dafa21d9-a2ea-4867-b143-31f8243c024c"/>
        <s v="fd7d838f-61fb-4072-8a90-c3d1b393f61b"/>
        <s v="9643a7f2-7f1e-4f3a-b67a-e4db4ac513f7"/>
        <s v="009ae06d-cf99-467d-9ca4-a01697f72e27"/>
        <s v="922204f6-79f1-49ba-ab4c-25b2f7427397"/>
        <s v="5d45490d-e212-40da-9db3-7fe81d466e5d"/>
        <s v="c95e92f7-8dde-45fb-8837-d183a4786431"/>
        <s v="165472a7-d6ca-4fd8-9f05-0a98ddac11f5"/>
        <s v="03e2d336-f9ca-4b38-a731-4fc42de09dfd"/>
        <s v="1e54c09b-4c64-4a56-be8d-61e1318d7de9"/>
        <s v="67b79c05-b522-4593-8812-0d7f9fe8aead"/>
        <s v="2a1cc810-f23f-44be-ad5d-2c2061de3b67"/>
        <s v="94019fc0-5f8a-4f46-b07d-b18f9ed2fb2d"/>
        <s v="acec8856-d263-466f-b05c-84bd5b847fc1"/>
        <s v="54483220-8340-4be3-b6c6-51347b1f367c"/>
        <s v="f4ecf59b-ae01-485b-a05f-b80aa788d151"/>
        <s v="6f429ee1-fdee-4a46-88b6-217e010bf7ca"/>
        <s v="f6a4c26a-3865-4f58-99c7-07d8e2ca6da0"/>
        <s v="dba5fcd9-c9cd-46ba-a785-12d580ffe57a"/>
        <s v="018fc11e-35bf-41a6-9c2e-0fe1cb9dcb9b"/>
        <s v="14ad0f9b-ea8e-437c-b3d9-d3b4ddd90518"/>
        <s v="6a2ef805-75fa-4c53-b30f-57c35a82c2a4"/>
        <s v="b4335591-8cf2-4447-be7b-0390e7645fec"/>
        <s v="f0651ccf-cec5-4eb0-881b-198e786e21cc"/>
        <s v="b402f6a3-5340-4177-a05b-5f6189a1ccf6"/>
        <s v="76479ec1-d623-4c0b-afe8-94ed5d2b1841"/>
        <s v="da98ee54-efa1-4a37-a44f-16e69c8a3769"/>
        <s v="53cd2e8b-92e5-4411-a0ca-9f936ff0be49"/>
        <s v="30a44076-ebcc-4c8b-8064-9e1a18718512"/>
        <s v="74e91e22-a440-4514-996c-da314a1c94c0"/>
        <s v="915c486d-4ef1-4e6b-953c-b179a8d2ba80"/>
        <s v="294b26f6-bf81-4c20-9d69-4b0d99e6fdc0"/>
        <s v="b73ffa14-dae4-45da-b61f-6c3f7f80a89e"/>
        <s v="348f55a1-ec49-4749-b0f2-d28f1d6587c1"/>
        <s v="6d6dc8da-1c46-48a9-9864-d6731b144bc7"/>
        <s v="02858336-ce07-4437-8326-04e65dd55fe4"/>
        <s v="fa63cc57-bb9c-4785-aff8-0c7c326b44bd"/>
        <s v="45b7faf6-5799-4708-8c79-9b6b478ccfc3"/>
        <s v="03e4dd2e-3e51-4d0d-a880-eb30ad369498"/>
        <s v="853315fd-3f57-4c4d-b1c0-63876571d6be"/>
        <s v="0b7c1304-c2c5-4050-9b73-fd7e7c4c1936"/>
        <s v="586df37b-bacf-4952-94e8-20049c50d537"/>
        <s v="35bff7d1-834a-47b1-8627-e9ce0847bae9"/>
        <s v="6c9a8394-7c0d-49dd-814c-cdca8e78dbd5"/>
        <s v="f6a5ccaa-f8db-4293-9b11-932f3470afdf"/>
        <s v="1cc3a12d-c04b-4839-a053-31d0fce65570"/>
        <s v="be2593fe-882a-47b4-84fb-96d56973714b"/>
        <s v="e00df3f6-aa51-4a6d-bf1d-36462af123a2"/>
        <s v="5eb1511c-6bde-49b4-b1e9-39aeeca914bc"/>
        <s v="43bdd060-f236-479e-81bb-97be1c5dc7be"/>
        <s v="c331b5bf-7dc0-44f3-bbc6-33242970d6bd"/>
        <s v="2c43e82b-a86a-44f0-a9c7-359db0ff3d83"/>
        <s v="7a27100e-236d-45f0-952e-b7c838d737a2"/>
        <s v="25b223d6-04b8-478f-9246-79edbe8738eb"/>
        <s v="8ccc7ee3-b4a6-404a-9faf-787343dc06f2"/>
        <s v="4d39c9a6-3193-454d-9981-2f01cdfb6409"/>
        <s v="6d865eac-7ee1-4c9f-bf09-98a0163a585b"/>
        <s v="36d91d20-825b-4909-9326-ca55a5ba261f"/>
        <s v="ce0567fa-7e48-43a0-a5b7-07aa5cc439d0"/>
        <s v="302bfa8d-a0d2-49bf-ba0e-92515d5d4911"/>
        <s v="32a2277a-2bbc-47d0-9874-fcd6195b5e16"/>
        <s v="261f24e0-0c30-40fa-92d3-3c013d335e1f"/>
        <s v="bc41d301-8342-4b13-a0a6-0094760ae37b"/>
        <s v="b21c5672-3d61-481e-bd82-6e363e042060"/>
        <s v="fa21bde8-c128-4e66-83c3-a35891b527e7"/>
        <s v="ae03b614-5581-49d6-bb73-db61d22a7b6c"/>
        <s v="eec053a4-5ae1-415f-b30f-845523ab472b"/>
        <s v="a5a9edd5-c2b3-4542-ac87-c882564547e6"/>
        <s v="ed2a25dc-7b7a-4810-9252-9fa56521ff40"/>
        <s v="15c297bf-5d8e-4902-b9f9-0205a370b77e"/>
        <s v="48fa08f3-3f1d-41d4-98c7-9d364159c3ee"/>
        <s v="a487c1e9-95f4-4b1d-b9e1-8ce364aaa62c"/>
        <s v="b5d4423c-9255-4859-8feb-44a8655b46a4"/>
        <s v="5199a25e-ee56-4e1f-9c71-21f24998e8fc"/>
        <s v="2f12cb9e-2010-490d-9bfa-31410ba27433"/>
        <s v="495441f0-2d83-4d9c-aafc-5c80643ab7b5"/>
        <s v="32cbf6b2-5cd5-4174-8a02-005124de47a9"/>
        <s v="5c493940-b957-429c-b2c2-6378fa0e9e7b"/>
        <s v="d6516497-6c06-4709-8da9-2fbc709d5c67"/>
        <s v="b6857111-61b8-43f5-8981-c8ec006f2fb9"/>
        <s v="1801df3c-96b3-4e4a-be9c-19777e295ccd"/>
        <s v="af657191-85e9-4afd-94e6-b34adf3aa8e2"/>
        <s v="d7e693a3-06a8-4900-a649-17ebdc044442"/>
        <s v="2d00fa46-ed9d-4a83-8d4f-00268740aa20"/>
        <s v="b970ae82-fee0-482e-b413-b42d8439bc7e"/>
        <s v="82c801f7-86fa-465e-b47e-1a2faca2409f"/>
        <s v="3be08974-31f2-40c3-afb9-3a240fd500b5"/>
        <s v="eb22a1ca-e765-4386-9637-b65cff10da6f"/>
        <s v="e9aad92b-b3bc-438a-9893-00066fab9810"/>
        <s v="92e1c1ff-b495-49b7-a5b5-d0aeb1d04194"/>
        <s v="4b28f4e5-d521-4d6e-94a1-2e2d06559b71"/>
        <s v="a2ab5f05-64d9-4b5f-a606-40a5bd1bb17c"/>
        <s v="cb8f4dea-863b-4651-a226-6e0dec00b253"/>
        <s v="4f0f1770-3af6-4b65-a5e9-61a996e12a76"/>
        <s v="48f1f9b2-e5c3-45db-9c35-dba3af2b3e37"/>
        <s v="39f5457f-dcd1-4ade-baf5-0b5ac2798271"/>
        <s v="8d5984e4-42c5-40ea-a6b1-0829494656fe"/>
        <s v="0a48305d-5c9c-4afa-9ee6-8e31efd58718"/>
        <s v="c52c3f64-0bf6-4119-ab4d-0c0c46049424"/>
        <s v="0332c3e0-2f25-4dfd-ad14-79f12be80567"/>
        <s v="ddd463db-888b-4ab8-b2a7-396cacbc0f7c"/>
        <s v="650656a9-a043-47bc-ae91-0380ba19f6d1"/>
        <s v="63edf886-6d4d-489d-a1a2-e321304707b2"/>
        <s v="3773bcf2-e766-445f-90a8-279d0bd1b1ae"/>
        <s v="8f691093-3270-4ace-ae7f-f6404f3e9c97"/>
        <s v="ab896c73-e2a6-4dc5-922f-889ab750954e"/>
        <s v="e8b495a0-823c-484a-8e06-d1bdd07a0b5f"/>
        <s v="89cde298-9d2d-459e-ac2a-33f1db2b8db1"/>
        <s v="e14300c1-3569-475f-a547-4c787f5cf604"/>
        <s v="5532c3c2-1fd2-4b63-a93a-fe0891b55345"/>
        <s v="b5bf5404-1040-4584-9e23-bd9aa4a748c4"/>
        <s v="d079bbf1-e637-4020-8ca5-6bb2c45c34f9"/>
        <s v="7896d226-252e-4fbf-902d-719da7aaaf24"/>
        <s v="71b6157e-f3ed-4bd0-83ed-fc382c96bff0"/>
        <s v="72bb2e02-f0ab-4425-ad19-83e3487dfc79"/>
        <s v="f778848a-1ec7-484b-a619-98ff8730961f"/>
        <s v="008ee7b3-7786-4b09-b979-9ae857581c91"/>
        <s v="1de0d9e2-fea5-4f41-858a-b4d39e7e4657"/>
        <s v="5e0eecec-2dab-48b7-a609-0fd963d1d90a"/>
        <s v="24b8ae05-3a27-4a1d-b704-94fbf52b7e78"/>
        <s v="e13367f1-7d08-4bb3-a252-f1741f4928d8"/>
        <s v="b343399a-8398-43c0-a157-92dd7a44f5c7"/>
        <s v="45698812-aa8b-4fea-b214-81743c8c3e1d"/>
        <s v="2c42cc7e-a16c-4dc9-ae59-89dbe94c5127"/>
        <s v="0514f6bb-c61e-409d-8985-bc35bb86f4af"/>
        <s v="3b41356a-51cc-450b-9098-9b6959c32336"/>
        <s v="496f9895-2148-475d-9da8-8846db1a0d2e"/>
        <s v="f10d3d99-9f63-4b93-a89a-94e952ffcf1c"/>
        <s v="18b6e7f0-7f1c-4914-ab72-945d8d766ba6"/>
        <s v="9fd5d30c-2b67-444a-b0bd-e6ce0c2a3c03"/>
        <s v="a9af6b62-1d3a-42df-99e5-230a527f9cf6"/>
        <s v="d3e4b4f5-0e5d-46c7-a6d9-b15a09e90033"/>
        <s v="6b289530-390b-4fbc-a2f2-7adff1dc65eb"/>
        <s v="732de4a4-0325-4391-a400-19ffb39fdec9"/>
        <s v="df271a81-4486-42c3-b66a-88accdba843d"/>
        <s v="d1dd5a1a-3f08-4909-b8b0-04384056d29b"/>
        <s v="55359418-5f6c-4f2b-9e70-525bf3b5c143"/>
        <s v="1a8c7e9d-606f-43dc-9e8a-38707414cb60"/>
        <s v="b132b519-abc7-45bf-afcb-a51cf812697a"/>
        <s v="e4d04092-1822-4155-841a-4386e1c16529"/>
        <s v="6c36c1bb-60d5-43fc-9b1f-840f4136899c"/>
        <s v="570e94ce-b053-46a5-8a1e-1a663553c880"/>
        <s v="84862dcd-d58c-423c-99b1-8b1ee8b38e4e"/>
        <s v="73c9e2ed-d0e0-4b5c-92ac-e3a55014e974"/>
        <s v="22971ca8-f21c-436b-84f8-11a2a2c20ff6"/>
        <s v="e2689eed-d7a5-4b39-a1e0-7b6894376ce5"/>
        <s v="f8f7bac5-22e3-4fcd-8c93-90375d23c11b"/>
        <s v="41673c52-8873-43f3-b016-36a8c4e22ead"/>
        <s v="d28fd44c-05cd-4575-a1d4-081b8663b676"/>
        <s v="38689b3f-5f78-4f2d-8f10-c3c9cd750a01"/>
        <s v="c1fae86b-bd50-4387-a36c-f6dd0feee517"/>
        <s v="342d4b10-ea36-4f9d-a345-cbb571e1445f"/>
        <s v="1b8b26e6-8632-4b38-8f73-c6f0e70ccf60"/>
        <s v="346d7c42-eb45-461e-a667-5669781129fb"/>
        <s v="2613eb8c-73dd-4b40-8ff0-7cf4fa29b165"/>
        <s v="636e2a36-d8c0-4ac8-b15e-52b5f9b2507b"/>
        <s v="d7b9f594-a51e-4402-948d-437dc2679714"/>
        <s v="09c37b10-c227-4f88-9c6a-eb146d381382"/>
        <s v="4181125d-2bd6-43ef-b4f7-d88b503ebcc9"/>
        <s v="c039c16a-b7e7-4616-8b5d-dbc120a30d24"/>
        <s v="bea55d48-ca8e-4a5e-81da-22d3ae44e9a0"/>
        <s v="d6c6c3cb-6cf5-40a9-b8d5-65640f8dab1c"/>
        <s v="60d79197-fd4c-4a31-a577-d7d861b32c67"/>
        <s v="6962b6a9-7e9b-4fc9-80fb-8d56c5243ad2"/>
        <s v="1f4ac01b-7a1a-4d64-ae6d-a13b0dd45606"/>
        <s v="84603ef1-6930-4a3e-b3f4-2e56b1a84398"/>
        <s v="d5d39d13-0c4d-4695-9fb3-6fbc66298a78"/>
        <s v="784aa491-3eb3-4b5e-858a-3b24918b10a1"/>
        <s v="c7ef43ee-8690-4aa4-9f03-8c8f2d905b35"/>
        <s v="582a5e26-8066-4160-aeff-a40ad4fe52e2"/>
        <s v="dac9f21c-448d-4f16-bcea-f8eb66b827c1"/>
        <s v="a07f9aa3-2d4a-44b5-983f-9e8c4f941136"/>
        <s v="c3bb3562-c65e-4e05-bfb3-9df465d18c89"/>
        <s v="9e9a947c-796d-4653-bc4d-b777a5aa5e38"/>
        <s v="a8b647c7-bcba-44a0-8e1a-6b49fad5f46a"/>
        <s v="dca0f25c-824a-4634-827c-d385dafa7123"/>
        <s v="f2788526-390a-447d-aadf-5ad11ba53e76"/>
        <s v="720e7c71-4c87-47e1-b24a-7f8c021bc9a3"/>
        <s v="c6fe3646-36da-4379-b9d4-1237b3932c67"/>
        <s v="b8257a06-d0a6-4198-b8a6-7c4130b98420"/>
        <s v="688bf8b0-b0ea-4f26-96a2-bf0bf26b0c06"/>
        <s v="f6d11075-7912-4e6a-b081-b8502c35c2e8"/>
        <s v="2cd50550-d603-41b2-a403-b06bf90f402c"/>
        <s v="8e4ddf27-be01-4cd2-bc4a-4045e7298017"/>
        <s v="89a9fe2d-5336-4fdd-98cc-119f72686d97"/>
        <s v="632f3ed9-ab81-468b-93d0-16a797a5d1c7"/>
        <s v="5407753d-0304-48ca-9ea9-d8bbfb643e29"/>
        <s v="f3c3146d-5022-4c1a-8a7c-38632c504802"/>
        <s v="a73cd6f4-c471-4e0a-9570-af0860e0c5d1"/>
        <s v="9569ccbc-bd8e-4611-8386-71eeb9e0963f"/>
        <s v="8ade79e6-11e9-4fba-b189-eb3b62f4cbd6"/>
        <s v="590172c6-7ce0-48b6-82b2-7436a3631331"/>
        <s v="a49f90f7-8839-4571-8758-445882bf113d"/>
        <s v="46930688-ab22-4f38-922e-c8bdee972554"/>
        <s v="20d27746-91f7-427d-9e21-02ca06d5e5c3"/>
        <s v="cb2352c0-8796-4ebd-84d7-33203546a4cb"/>
        <s v="42475c68-ebdf-44e9-8ae2-152388b5d345"/>
        <s v="f10d9e5e-78e5-42f9-984f-478745f93fb9"/>
        <s v="e7e6c336-1e49-4295-a6a2-d4acf044ce4d"/>
        <s v="31d353ab-28f4-4ab9-8b40-a16ebfc9742a"/>
        <s v="4c7d52b9-0e48-4e31-bcf4-e5fd45e48176"/>
        <s v="700aef49-fe52-4fd6-8401-bbfa8ba48024"/>
        <s v="dffbee9b-2a20-4916-9f32-44754d3fae5d"/>
        <s v="7262df37-0083-41ed-b686-43f93dc8ea21"/>
        <s v="4404f1db-09be-4f2c-92f0-2d65ee6b0394"/>
        <s v="c7da08b2-c581-41ed-8398-757d407a24ef"/>
        <s v="698672ae-dbbd-4086-a5f7-90c3dfe00ff8"/>
        <s v="9e945271-543f-4b06-a34e-b1dfcd6b8450"/>
        <s v="9d189c13-ff1e-411f-93d3-ee251f727785"/>
        <s v="a244bdbd-1394-4bdb-bbc3-e6fc452874c4"/>
        <s v="ec0799d5-b19c-407d-9997-ef035cb093a4"/>
        <s v="117eebda-32b4-42cc-95e1-dc2c259fffa6"/>
        <s v="d8cce44d-2d8e-494b-b543-022a5aa32bef"/>
        <s v="1d820555-0e65-4a21-b58e-10930e326e7b"/>
        <s v="ed9aad8e-d0c1-4dda-a2ae-ab5809b7fd52"/>
        <s v="75a62e15-6018-4f88-b473-5dd4eb79e63b"/>
        <s v="2119f43d-1200-4439-ad32-eab189cb6475"/>
        <s v="517b090a-2e73-4c68-aad4-180d1350b369"/>
        <s v="7c10c6c6-9acd-42a2-b74c-041e173a74ff"/>
        <s v="b847cf15-a430-4067-b4ba-2bca14b1ebd1"/>
        <s v="4b439440-bf95-4e0b-865c-32dff4dfe00b"/>
        <s v="99b0e8dd-7174-4559-a628-143ef6d46608"/>
        <s v="5150f58c-f863-4f35-bdd4-d6cfc1a1ef10"/>
        <s v="5e092005-bbaf-4295-9ccc-3c9493b48d04"/>
        <s v="37a9f5be-b24a-4f6c-97bd-9b822a31fa1d"/>
        <s v="325642ee-2d8b-4a13-a954-d573be58d386"/>
        <s v="86dddca7-94b8-407d-9b43-bb0906ba81e6"/>
        <s v="791a6835-1e53-4dab-9537-f28d07071087"/>
        <s v="1d0dc58b-5630-4061-a4c4-8af444dd978f"/>
        <s v="3cd2ba34-59ca-4654-b969-558904dc2456"/>
        <s v="66a70af2-e06b-4866-8aaa-a2912c261d68"/>
        <s v="d035d687-44b0-4ce5-a8c5-2c6ad05a14b6"/>
        <s v="69ab5c31-c863-41d0-94a7-8aa6b0126003"/>
        <s v="257f5799-af41-462b-b2f9-acae82ba412c"/>
        <s v="d21d73fe-7b8a-4ddb-a473-47c717ebb087"/>
        <s v="c6ebe95f-880f-4175-b857-173d436e2753"/>
        <s v="7a049296-c624-4bff-8f06-3b6b06011495"/>
        <s v="7ce37500-a380-4f67-8cbb-04f3cb8e5cc8"/>
        <s v="43c7bc6c-6c1b-481e-b0de-1a182eecc87e"/>
        <s v="7a491145-3991-4010-a1e5-3b0f7d86b7e3"/>
        <s v="530801f5-4c88-4d00-b297-5944ebece83d"/>
        <s v="403acb42-0f8a-41c6-b42a-d1adc4b62bfb"/>
        <s v="f652769b-e1e8-44a1-8f3d-6f80c1ac3f13"/>
        <s v="c29d00e9-6a9a-45f0-b194-a343ff209570"/>
        <s v="ece1df7a-ba2b-48cc-9d1f-e8d8a307a1c6"/>
        <s v="0e8a03cd-16fb-4487-accf-bc309a83a97e"/>
        <s v="d337811c-59ff-494c-9e71-77b6282c296c"/>
        <s v="017b54f8-9568-458c-be6a-2127e15e3349"/>
        <s v="8d755bac-229c-4065-93f5-cba971acb014"/>
        <s v="0aaaf135-b356-4f2c-bdf2-f1df1f461081"/>
        <s v="1fc16a62-28d6-40bf-bd79-70a515ccaa32"/>
        <s v="123ae22b-bc9d-4228-96dc-fc15dfb19590"/>
        <s v="66f10c57-ee31-4fe2-b3a9-4e88f49e1e71"/>
        <s v="983f661d-1d5c-478c-aef5-611a679c13a6"/>
        <s v="1f451643-e6fa-4d54-b03d-304b7a23b3e1"/>
        <s v="2394f979-8464-44ce-a630-ae28dbf2d042"/>
        <s v="cce81a35-f0aa-40e7-a33d-43e447f74b34"/>
        <s v="d2226fcc-944b-4300-a358-816d2b168c5f"/>
        <s v="d4d30727-21e7-45cf-abfd-68611006864c"/>
        <s v="b7681cb8-fbde-4312-ba1b-0c772e149e82"/>
        <s v="d9f6800f-10da-460e-b27e-bdbb10820a14"/>
        <s v="dc08f2b8-94f2-4889-8156-0e3c3724d0ff"/>
        <s v="0fcf615c-8bf9-42ad-9b7b-8c8dfce43c46"/>
        <s v="bdb0c3e4-d084-49a5-a6b4-ba900b20e2ae"/>
        <s v="3bd772bc-8bbc-41a0-b2df-bdeee19f3595"/>
        <s v="47c5d8d5-18ad-4bf9-80ad-542822b25aca"/>
        <s v="8dac1bb0-62a5-4b93-9f18-74bb64e1f8a8"/>
        <s v="6b2a6d67-9ca9-4751-9892-59fbd4257856"/>
        <s v="7e9821f4-95d8-433f-958b-d88fd9985891"/>
        <s v="36cbc08f-0000-4ac1-a306-2119638696af"/>
        <s v="e6cdf437-19fd-4174-9933-e60c7eb6eab2"/>
        <s v="2ee16a28-cb66-41ad-9e11-480593b992f3"/>
        <s v="5cfc2d19-d3e9-408a-82b3-9e72a480e588"/>
        <s v="4d3c7cfd-d33e-47a8-a31b-f2a694c31429"/>
        <s v="bfde20ee-a837-4bd7-af36-f9e5b40dfe3b"/>
        <s v="ead07a50-6dc3-4997-a078-77b5ae38bb54"/>
        <s v="8d472941-b5df-4f80-b3a6-ece0e6978e8a"/>
        <s v="99a8722a-ede3-4080-9d85-450687f17be6"/>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754" sheet="Datos_Limpios"/>
  </cacheSource>
  <cacheFields>
    <cacheField name="Fecha de venta" numFmtId="165">
      <sharedItems containsSemiMixedTypes="0" containsDate="1" containsString="0">
        <d v="2024-10-01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d v="2024-12-31T00:00:00Z"/>
      </sharedItems>
    </cacheField>
    <cacheField name="Ciudad" numFmtId="0">
      <sharedItems>
        <s v="monterrey"/>
        <s v="bogotá"/>
        <s v="Ciudad de Mexico"/>
        <s v="Medellín"/>
        <s v="Guadalajara"/>
        <s v="CALI"/>
        <s v="TULUM"/>
        <s v="  Guadalajara"/>
      </sharedItems>
    </cacheField>
    <cacheField name="Ciudad corregida" numFmtId="0">
      <sharedItems>
        <s v="Monterrey"/>
        <s v="Bogotá"/>
        <s v="Ciudad De Mexico"/>
        <s v="Medellín"/>
        <s v="Guadalajara"/>
        <s v="Cali"/>
        <s v="Tulum"/>
      </sharedItems>
    </cacheField>
    <cacheField name="Categoría" numFmtId="0">
      <sharedItems>
        <s v="Tablet"/>
        <s v="Auriculares"/>
        <s v="Teléfono"/>
        <s v="Laptop"/>
      </sharedItems>
    </cacheField>
    <cacheField name="Tipo" numFmtId="0">
      <sharedItems>
        <s v="Estándar"/>
        <s v="Con cable"/>
        <s v="Gama alta"/>
        <s v="Pro"/>
        <s v="Oficina"/>
        <s v="Bluetooth"/>
        <s v="Ultraliviana"/>
        <s v="Mini"/>
        <s v="Gama media"/>
        <s v="Gaming"/>
        <s v="Gama baja"/>
        <s v="Cancelaci√≥n de ruido"/>
        <s v="Cancelación de ruido"/>
      </sharedItems>
    </cacheField>
    <cacheField name="Especificaciones" numFmtId="0">
      <sharedItems>
        <s v="8GB"/>
        <s v="32GB"/>
        <s v="16GB"/>
        <s v="4GB"/>
      </sharedItems>
    </cacheField>
    <cacheField name="Precio unitario" numFmtId="166">
      <sharedItems containsSemiMixedTypes="0" containsString="0" containsNumber="1">
        <n v="1339.17"/>
        <n v="716.29"/>
        <n v="439.01"/>
        <n v="741.79"/>
        <n v="984.34"/>
        <n v="2419.81"/>
        <n v="145.9"/>
        <n v="1086.48"/>
        <n v="1898.32"/>
        <n v="1280.61"/>
        <n v="1753.0"/>
        <n v="370.25"/>
        <n v="62.73"/>
        <n v="2314.37"/>
        <n v="2168.25"/>
        <n v="120.46"/>
        <n v="525.13"/>
        <n v="278.37"/>
        <n v="157.57"/>
        <n v="981.62"/>
        <n v="646.22"/>
        <n v="1848.98"/>
        <n v="1420.28"/>
        <n v="2208.12"/>
        <n v="591.94"/>
        <n v="1429.89"/>
        <n v="2085.29"/>
        <n v="724.28"/>
        <n v="1859.58"/>
        <n v="218.17"/>
        <n v="1375.85"/>
        <n v="421.59"/>
        <n v="2288.18"/>
        <n v="1699.32"/>
        <n v="1578.34"/>
        <n v="1445.1"/>
        <n v="1065.52"/>
        <n v="2095.66"/>
        <n v="2215.63"/>
        <n v="2395.85"/>
        <n v="883.61"/>
        <n v="1277.75"/>
        <n v="2182.77"/>
        <n v="1163.04"/>
        <n v="1664.18"/>
        <n v="992.68"/>
        <n v="284.79"/>
        <n v="362.17"/>
        <n v="1274.8"/>
        <n v="233.85"/>
        <n v="142.14"/>
        <n v="226.52"/>
        <n v="1922.79"/>
        <n v="2214.98"/>
        <n v="120.94"/>
        <n v="1950.45"/>
        <n v="2092.55"/>
        <n v="214.72"/>
        <n v="1291.39"/>
        <n v="970.38"/>
        <n v="2101.48"/>
        <n v="302.84"/>
        <n v="1421.57"/>
        <n v="1037.64"/>
        <n v="579.54"/>
        <n v="796.49"/>
        <n v="1838.04"/>
        <n v="1090.69"/>
        <n v="882.55"/>
        <n v="1909.2"/>
        <n v="2381.87"/>
        <n v="68.0"/>
        <n v="571.73"/>
        <n v="2009.75"/>
        <n v="2289.42"/>
        <n v="1414.97"/>
        <n v="2332.8"/>
        <n v="379.5"/>
        <n v="2020.01"/>
        <n v="428.56"/>
        <n v="1966.38"/>
        <n v="2242.47"/>
        <n v="1896.1"/>
        <n v="829.53"/>
        <n v="2377.34"/>
        <n v="1614.05"/>
        <n v="1805.81"/>
        <n v="1112.48"/>
        <n v="2264.15"/>
        <n v="833.39"/>
        <n v="2341.77"/>
        <n v="397.5"/>
        <n v="100.75"/>
        <n v="1268.91"/>
        <n v="903.41"/>
        <n v="259.75"/>
        <n v="798.65"/>
        <n v="1937.4"/>
        <n v="1866.74"/>
        <n v="1093.69"/>
        <n v="2063.13"/>
        <n v="1091.59"/>
        <n v="271.81"/>
        <n v="2392.27"/>
        <n v="2411.28"/>
        <n v="303.84"/>
        <n v="228.78"/>
        <n v="721.04"/>
        <n v="594.52"/>
        <n v="1612.96"/>
        <n v="169.21"/>
        <n v="709.65"/>
        <n v="1750.63"/>
        <n v="1564.96"/>
        <n v="1972.43"/>
        <n v="2431.8"/>
        <n v="904.01"/>
        <n v="700.55"/>
        <n v="1034.4"/>
        <n v="902.5"/>
        <n v="713.75"/>
        <n v="2484.74"/>
        <n v="2182.83"/>
        <n v="2329.03"/>
        <n v="130.05"/>
        <n v="1564.37"/>
        <n v="2317.94"/>
        <n v="722.95"/>
        <n v="242.27"/>
        <n v="1279.5"/>
        <n v="2299.22"/>
        <n v="1077.13"/>
        <n v="1956.0"/>
        <n v="2224.57"/>
        <n v="1840.11"/>
        <n v="2081.9"/>
        <n v="320.64"/>
        <n v="318.76"/>
        <n v="474.59"/>
        <n v="2430.43"/>
        <n v="270.83"/>
        <n v="121.68"/>
        <n v="392.86"/>
        <n v="1807.14"/>
        <n v="1604.02"/>
        <n v="72.75"/>
        <n v="1524.07"/>
        <n v="2392.65"/>
        <n v="1988.0"/>
        <n v="1703.47"/>
        <n v="205.25"/>
        <n v="1882.22"/>
        <n v="419.18"/>
        <n v="1511.08"/>
        <n v="1736.9"/>
        <n v="2240.54"/>
        <n v="1242.34"/>
        <n v="1657.62"/>
        <n v="499.22"/>
        <n v="348.21"/>
        <n v="324.46"/>
        <n v="796.3"/>
        <n v="1327.27"/>
        <n v="2384.86"/>
        <n v="379.64"/>
        <n v="1582.73"/>
        <n v="1362.97"/>
        <n v="1817.8"/>
        <n v="1962.79"/>
        <n v="785.65"/>
        <n v="747.11"/>
        <n v="1030.99"/>
        <n v="486.27"/>
        <n v="1518.43"/>
        <n v="2100.84"/>
        <n v="1261.22"/>
        <n v="2418.11"/>
        <n v="2499.77"/>
        <n v="1228.74"/>
        <n v="1901.74"/>
        <n v="743.39"/>
        <n v="2095.64"/>
        <n v="1062.11"/>
        <n v="1363.09"/>
        <n v="1468.39"/>
        <n v="1823.15"/>
        <n v="2242.64"/>
        <n v="1260.9"/>
        <n v="2382.64"/>
        <n v="919.0"/>
        <n v="1631.22"/>
        <n v="2101.18"/>
        <n v="1868.91"/>
        <n v="1898.24"/>
        <n v="611.99"/>
        <n v="403.48"/>
        <n v="174.28"/>
        <n v="273.42"/>
        <n v="1437.75"/>
        <n v="1092.45"/>
        <n v="832.37"/>
        <n v="755.38"/>
        <n v="1237.66"/>
        <n v="986.08"/>
        <n v="1984.42"/>
        <n v="1537.12"/>
        <n v="1832.39"/>
        <n v="1834.12"/>
        <n v="1779.34"/>
        <n v="2484.65"/>
        <n v="371.09"/>
        <n v="2493.45"/>
        <n v="1010.17"/>
        <n v="2472.61"/>
        <n v="1741.09"/>
        <n v="1290.52"/>
        <n v="1598.45"/>
        <n v="1156.44"/>
        <n v="288.29"/>
        <n v="1164.32"/>
        <n v="429.21"/>
        <n v="847.32"/>
        <n v="509.58"/>
        <n v="2248.35"/>
        <n v="2388.79"/>
        <n v="2343.81"/>
        <n v="140.58"/>
        <n v="1292.41"/>
        <n v="1099.54"/>
        <n v="2317.48"/>
        <n v="797.71"/>
        <n v="1861.0"/>
        <n v="201.31"/>
        <n v="1889.28"/>
        <n v="1451.3"/>
        <n v="2266.71"/>
        <n v="287.48"/>
        <n v="1758.16"/>
        <n v="273.01"/>
        <n v="434.9"/>
        <n v="719.59"/>
        <n v="1912.53"/>
        <n v="2196.83"/>
        <n v="1992.15"/>
        <n v="1291.38"/>
        <n v="1522.98"/>
        <n v="1688.92"/>
        <n v="2157.37"/>
        <n v="642.49"/>
        <n v="2114.2"/>
        <n v="1491.19"/>
        <n v="1849.07"/>
        <n v="1612.87"/>
        <n v="670.67"/>
        <n v="1040.78"/>
        <n v="1050.44"/>
        <n v="808.32"/>
        <n v="2092.87"/>
        <n v="1826.03"/>
        <n v="1945.67"/>
        <n v="949.27"/>
        <n v="127.95"/>
        <n v="371.34"/>
        <n v="700.01"/>
        <n v="2242.24"/>
        <n v="1912.83"/>
        <n v="634.44"/>
        <n v="1270.75"/>
        <n v="841.48"/>
        <n v="1656.59"/>
        <n v="762.46"/>
        <n v="1662.81"/>
        <n v="427.92"/>
        <n v="271.11"/>
        <n v="1112.81"/>
        <n v="720.63"/>
        <n v="1111.98"/>
        <n v="763.62"/>
        <n v="489.42"/>
        <n v="2356.5"/>
        <n v="56.71"/>
        <n v="853.52"/>
        <n v="1668.3"/>
        <n v="1585.75"/>
        <n v="229.33"/>
        <n v="596.93"/>
        <n v="1650.53"/>
        <n v="2114.99"/>
        <n v="169.2"/>
        <n v="1614.84"/>
        <n v="360.98"/>
        <n v="1447.41"/>
        <n v="1746.28"/>
        <n v="2390.84"/>
        <n v="1415.48"/>
        <n v="1384.09"/>
        <n v="1933.07"/>
        <n v="1492.73"/>
        <n v="1170.2"/>
        <n v="569.35"/>
        <n v="664.19"/>
        <n v="214.86"/>
        <n v="499.69"/>
        <n v="2442.23"/>
        <n v="2498.64"/>
        <n v="2333.72"/>
        <n v="100.98"/>
        <n v="2437.77"/>
        <n v="1281.78"/>
        <n v="2012.81"/>
        <n v="1673.73"/>
        <n v="1151.85"/>
        <n v="1032.0"/>
        <n v="1856.6"/>
        <n v="1383.94"/>
        <n v="812.41"/>
        <n v="424.12"/>
        <n v="1787.41"/>
        <n v="625.41"/>
        <n v="2393.92"/>
        <n v="724.54"/>
        <n v="1665.73"/>
        <n v="1373.32"/>
        <n v="1899.66"/>
        <n v="1873.69"/>
        <n v="181.51"/>
        <n v="1029.22"/>
        <n v="1177.91"/>
        <n v="1618.43"/>
        <n v="2064.2"/>
        <n v="1152.44"/>
        <n v="1051.49"/>
        <n v="446.49"/>
        <n v="879.78"/>
        <n v="1001.15"/>
        <n v="2224.61"/>
        <n v="563.11"/>
        <n v="1165.81"/>
        <n v="718.69"/>
        <n v="2474.36"/>
        <n v="1876.88"/>
        <n v="450.01"/>
        <n v="1808.18"/>
        <n v="914.84"/>
        <n v="210.37"/>
        <n v="1767.16"/>
        <n v="1832.97"/>
        <n v="1159.32"/>
        <n v="120.49"/>
        <n v="84.76"/>
        <n v="969.37"/>
        <n v="1318.47"/>
        <n v="1943.33"/>
        <n v="2040.92"/>
        <n v="1626.83"/>
        <n v="1137.01"/>
        <n v="1216.59"/>
        <n v="1141.88"/>
        <n v="416.81"/>
        <n v="347.49"/>
        <n v="1346.1"/>
        <n v="1101.82"/>
        <n v="1843.37"/>
        <n v="627.26"/>
        <n v="1375.44"/>
        <n v="1397.49"/>
        <n v="1203.93"/>
        <n v="1441.97"/>
        <n v="992.95"/>
        <n v="456.65"/>
        <n v="2405.31"/>
        <n v="793.37"/>
        <n v="2030.7"/>
        <n v="2127.13"/>
        <n v="2255.29"/>
        <n v="808.48"/>
        <n v="2142.82"/>
        <n v="219.68"/>
        <n v="2269.51"/>
        <n v="2002.21"/>
        <n v="877.11"/>
        <n v="304.68"/>
        <n v="1533.19"/>
        <n v="1141.13"/>
        <n v="890.76"/>
        <n v="1307.54"/>
        <n v="1178.53"/>
        <n v="1217.56"/>
        <n v="2191.24"/>
        <n v="276.58"/>
        <n v="2426.87"/>
        <n v="1077.1"/>
        <n v="920.68"/>
        <n v="1620.89"/>
        <n v="653.09"/>
        <n v="1057.56"/>
        <n v="1292.9"/>
        <n v="173.04"/>
        <n v="221.44"/>
        <n v="2185.04"/>
        <n v="2214.19"/>
        <n v="215.41"/>
        <n v="1097.51"/>
        <n v="1868.8"/>
        <n v="2371.6"/>
        <n v="1752.92"/>
        <n v="210.76"/>
        <n v="1145.32"/>
        <n v="1017.27"/>
        <n v="2246.65"/>
        <n v="269.57"/>
        <n v="2189.91"/>
        <n v="1130.03"/>
        <n v="1485.74"/>
        <n v="1570.12"/>
        <n v="2469.75"/>
        <n v="1738.96"/>
        <n v="1987.27"/>
        <n v="1640.14"/>
        <n v="2420.41"/>
        <n v="495.51"/>
        <n v="299.66"/>
        <n v="510.78"/>
        <n v="2399.53"/>
        <n v="2408.85"/>
        <n v="1944.02"/>
        <n v="1160.21"/>
        <n v="536.87"/>
        <n v="416.62"/>
        <n v="1175.45"/>
        <n v="1273.61"/>
        <n v="1402.66"/>
        <n v="197.09"/>
        <n v="2135.79"/>
        <n v="752.56"/>
        <n v="2198.02"/>
        <n v="342.64"/>
        <n v="1249.46"/>
        <n v="463.17"/>
        <n v="776.93"/>
        <n v="405.62"/>
        <n v="1659.54"/>
        <n v="1848.95"/>
        <n v="793.75"/>
        <n v="919.27"/>
        <n v="807.71"/>
        <n v="1768.49"/>
        <n v="2009.76"/>
        <n v="72.37"/>
        <n v="443.81"/>
        <n v="1628.77"/>
        <n v="1752.21"/>
        <n v="649.99"/>
        <n v="1768.85"/>
        <n v="103.69"/>
        <n v="2028.12"/>
        <n v="428.02"/>
        <n v="1880.14"/>
        <n v="1061.61"/>
        <n v="564.69"/>
        <n v="1847.8"/>
        <n v="2476.21"/>
        <n v="1155.26"/>
        <n v="1022.39"/>
        <n v="110.53"/>
        <n v="1453.6"/>
        <n v="2062.25"/>
        <n v="1083.45"/>
        <n v="2488.53"/>
        <n v="2068.34"/>
        <n v="1390.26"/>
        <n v="1438.41"/>
        <n v="2229.46"/>
        <n v="324.09"/>
        <n v="664.21"/>
        <n v="412.36"/>
        <n v="1247.08"/>
        <n v="252.24"/>
        <n v="1519.67"/>
        <n v="488.25"/>
        <n v="2210.34"/>
        <n v="1892.73"/>
        <n v="788.6"/>
        <n v="1219.75"/>
        <n v="2014.33"/>
        <n v="1804.11"/>
        <n v="764.41"/>
        <n v="1713.18"/>
        <n v="1160.86"/>
        <n v="2160.65"/>
        <n v="2297.62"/>
        <n v="1795.59"/>
        <n v="2087.73"/>
        <n v="1168.3"/>
        <n v="1654.16"/>
        <n v="563.92"/>
        <n v="684.7"/>
        <n v="1496.64"/>
        <n v="337.5"/>
        <n v="251.95"/>
        <n v="568.57"/>
        <n v="1491.36"/>
        <n v="1083.91"/>
        <n v="2254.91"/>
        <n v="1615.43"/>
        <n v="411.02"/>
        <n v="1109.64"/>
        <n v="2256.04"/>
        <n v="616.36"/>
        <n v="206.29"/>
        <n v="890.66"/>
        <n v="1208.42"/>
        <n v="2148.99"/>
        <n v="1560.05"/>
        <n v="1114.1"/>
        <n v="2261.15"/>
        <n v="157.89"/>
        <n v="2060.35"/>
        <n v="218.94"/>
        <n v="78.53"/>
        <n v="2294.28"/>
        <n v="90.89"/>
        <n v="1464.04"/>
        <n v="690.26"/>
        <n v="1902.94"/>
        <n v="2281.58"/>
        <n v="1019.3"/>
        <n v="1113.91"/>
        <n v="2246.48"/>
        <n v="496.1"/>
        <n v="1005.46"/>
        <n v="379.11"/>
        <n v="1742.12"/>
        <n v="1143.24"/>
        <n v="1955.27"/>
        <n v="1440.56"/>
        <n v="1636.89"/>
        <n v="979.2"/>
        <n v="1566.88"/>
        <n v="1397.7"/>
        <n v="155.7"/>
        <n v="166.45"/>
        <n v="1744.95"/>
        <n v="1865.55"/>
        <n v="787.78"/>
        <n v="1001.63"/>
        <n v="1708.81"/>
        <n v="1402.2"/>
        <n v="85.19"/>
        <n v="240.45"/>
        <n v="1284.54"/>
        <n v="974.06"/>
        <n v="1808.15"/>
        <n v="1969.69"/>
        <n v="2351.13"/>
        <n v="173.92"/>
        <n v="817.03"/>
        <n v="1332.48"/>
        <n v="273.29"/>
        <n v="782.8"/>
        <n v="1198.31"/>
        <n v="569.56"/>
        <n v="1672.13"/>
        <n v="1603.02"/>
        <n v="1076.71"/>
        <n v="1203.25"/>
        <n v="1247.13"/>
        <n v="153.47"/>
        <n v="834.63"/>
        <n v="1268.59"/>
        <n v="181.16"/>
        <n v="934.1"/>
        <n v="1566.36"/>
        <n v="288.64"/>
        <n v="1164.16"/>
        <n v="494.57"/>
        <n v="2145.76"/>
        <n v="2116.69"/>
        <n v="2312.52"/>
        <n v="516.02"/>
        <n v="177.74"/>
        <n v="2083.24"/>
        <n v="818.61"/>
        <n v="2389.97"/>
        <n v="997.09"/>
        <n v="1939.56"/>
        <n v="787.6"/>
        <n v="1710.52"/>
        <n v="817.31"/>
        <n v="101.1"/>
        <n v="303.05"/>
        <n v="806.78"/>
        <n v="741.53"/>
        <n v="1423.68"/>
        <n v="658.01"/>
        <n v="421.27"/>
        <n v="814.63"/>
        <n v="205.57"/>
        <n v="785.82"/>
        <n v="1220.85"/>
        <n v="2281.01"/>
        <n v="763.21"/>
        <n v="1711.88"/>
        <n v="1252.47"/>
        <n v="1119.17"/>
        <n v="842.36"/>
        <n v="1771.25"/>
        <n v="1865.58"/>
        <n v="1615.07"/>
        <n v="1627.59"/>
        <n v="1700.41"/>
        <n v="1035.07"/>
        <n v="771.57"/>
        <n v="1698.28"/>
        <n v="602.68"/>
        <n v="1096.28"/>
        <n v="2030.62"/>
        <n v="1405.61"/>
        <n v="564.58"/>
        <n v="2310.61"/>
        <n v="2425.55"/>
        <n v="944.98"/>
        <n v="1876.74"/>
        <n v="2031.79"/>
        <n v="1031.51"/>
        <n v="879.04"/>
        <n v="292.99"/>
        <n v="1575.85"/>
        <n v="720.31"/>
        <n v="2309.76"/>
        <n v="633.29"/>
        <n v="530.94"/>
        <n v="127.35"/>
        <n v="1008.28"/>
        <n v="1900.01"/>
        <n v="1254.96"/>
        <n v="432.18"/>
        <n v="2373.12"/>
        <n v="290.07"/>
        <n v="841.77"/>
        <n v="1501.95"/>
        <n v="769.01"/>
        <n v="1507.69"/>
        <n v="2086.91"/>
        <n v="1092.96"/>
        <n v="2114.97"/>
        <n v="2077.18"/>
        <n v="1547.71"/>
        <n v="1944.73"/>
        <n v="1459.53"/>
        <n v="1019.73"/>
        <n v="1670.11"/>
        <n v="2008.78"/>
        <n v="2461.26"/>
        <n v="2224.42"/>
        <n v="1979.07"/>
        <n v="1397.8"/>
        <n v="1636.65"/>
        <n v="2186.25"/>
        <n v="1567.55"/>
        <n v="1717.67"/>
        <n v="778.63"/>
        <n v="2251.92"/>
        <n v="1770.14"/>
        <n v="489.63"/>
        <n v="625.26"/>
        <n v="784.39"/>
        <n v="1719.53"/>
        <n v="861.73"/>
        <n v="988.8"/>
        <n v="1696.63"/>
        <n v="1663.22"/>
        <n v="1991.97"/>
        <n v="1918.04"/>
        <n v="2115.54"/>
        <n v="2174.89"/>
        <n v="1148.92"/>
        <n v="1247.53"/>
        <n v="758.87"/>
        <n v="2441.7"/>
        <n v="366.39"/>
        <n v="306.11"/>
        <n v="988.44"/>
        <n v="2003.92"/>
        <n v="519.68"/>
        <n v="920.71"/>
        <n v="1089.03"/>
        <n v="500.74"/>
        <n v="1047.88"/>
        <n v="228.56"/>
        <n v="1068.29"/>
        <n v="173.94"/>
        <n v="2271.98"/>
        <n v="2461.45"/>
        <n v="848.42"/>
        <n v="2334.37"/>
        <n v="648.35"/>
        <n v="1794.09"/>
        <n v="658.24"/>
        <n v="824.79"/>
        <n v="1056.48"/>
        <n v="932.02"/>
        <n v="2140.33"/>
        <n v="554.25"/>
        <n v="173.36"/>
        <n v="1935.15"/>
        <n v="1923.56"/>
        <n v="2263.78"/>
        <n v="1831.56"/>
        <n v="1191.71"/>
        <n v="314.84"/>
        <n v="1724.31"/>
        <n v="372.92"/>
        <n v="589.92"/>
        <n v="702.77"/>
        <n v="2261.12"/>
        <n v="1577.5"/>
        <n v="211.08"/>
        <n v="1061.9"/>
        <n v="1152.78"/>
        <n v="1793.94"/>
        <n v="2144.75"/>
        <n v="1642.37"/>
        <n v="158.82"/>
        <n v="1088.66"/>
        <n v="1456.46"/>
        <n v="2209.08"/>
        <n v="401.92"/>
        <n v="989.79"/>
        <n v="173.98"/>
        <n v="1006.61"/>
        <n v="2068.09"/>
        <n v="732.27"/>
        <n v="620.05"/>
        <n v="1331.81"/>
        <n v="714.18"/>
        <n v="792.6"/>
        <n v="1811.9"/>
        <n v="895.6"/>
        <n v="2064.92"/>
        <n v="2149.59"/>
        <n v="619.4"/>
        <n v="2086.06"/>
        <n v="2019.54"/>
        <n v="823.08"/>
        <n v="1721.22"/>
        <n v="134.89"/>
        <n v="1545.28"/>
        <n v="807.96"/>
      </sharedItems>
    </cacheField>
    <cacheField name="Cantidad" numFmtId="0">
      <sharedItems containsSemiMixedTypes="0" containsString="0" containsNumber="1" containsInteger="1">
        <n v="2.0"/>
        <n v="1.0"/>
        <n v="5.0"/>
        <n v="3.0"/>
        <n v="4.0"/>
      </sharedItems>
    </cacheField>
    <cacheField name="Monto total" numFmtId="166">
      <sharedItems containsSemiMixedTypes="0" containsString="0" containsNumber="1">
        <n v="2678.34"/>
        <n v="716.29"/>
        <n v="2195.05"/>
        <n v="1483.58"/>
        <n v="2953.02"/>
        <n v="12099.05"/>
        <n v="729.5"/>
        <n v="1086.48"/>
        <n v="7593.28"/>
        <n v="6403.05"/>
        <n v="8765.0"/>
        <n v="1481.0"/>
        <n v="188.19"/>
        <n v="11571.85"/>
        <n v="6504.75"/>
        <n v="120.46"/>
        <n v="1050.26"/>
        <n v="835.11"/>
        <n v="315.14"/>
        <n v="4908.1"/>
        <n v="1292.44"/>
        <n v="5546.94"/>
        <n v="5681.12"/>
        <n v="4416.24"/>
        <n v="1183.88"/>
        <n v="5719.56"/>
        <n v="2085.29"/>
        <n v="2172.84"/>
        <n v="5578.74"/>
        <n v="872.68"/>
        <n v="1375.85"/>
        <n v="843.18"/>
        <n v="2288.18"/>
        <n v="6797.28"/>
        <n v="4735.02"/>
        <n v="5780.4"/>
        <n v="2131.04"/>
        <n v="10478.3"/>
        <n v="6646.89"/>
        <n v="9583.4"/>
        <n v="1767.22"/>
        <n v="1277.75"/>
        <n v="6548.31"/>
        <n v="1163.04"/>
        <n v="4992.54"/>
        <n v="4963.4"/>
        <n v="1423.95"/>
        <n v="1086.51"/>
        <n v="6374.0"/>
        <n v="935.4"/>
        <n v="426.42"/>
        <n v="453.04"/>
        <n v="5768.37"/>
        <n v="4429.96"/>
        <n v="362.82"/>
        <n v="7801.8"/>
        <n v="10462.75"/>
        <n v="644.16"/>
        <n v="3874.17"/>
        <n v="4851.9"/>
        <n v="4202.96"/>
        <n v="908.52"/>
        <n v="5686.28"/>
        <n v="3112.92"/>
        <n v="1738.62"/>
        <n v="2389.47"/>
        <n v="7352.16"/>
        <n v="1090.69"/>
        <n v="4412.75"/>
        <n v="5727.6"/>
        <n v="2381.87"/>
        <n v="204.0"/>
        <n v="2286.92"/>
        <n v="4019.5"/>
        <n v="9157.68"/>
        <n v="1414.97"/>
        <n v="2332.8"/>
        <n v="1518.0"/>
        <n v="10100.05"/>
        <n v="428.56"/>
        <n v="9831.9"/>
        <n v="8969.88"/>
        <n v="3792.2"/>
        <n v="3318.12"/>
        <n v="4754.68"/>
        <n v="1614.05"/>
        <n v="5417.43"/>
        <n v="2224.96"/>
        <n v="11320.75"/>
        <n v="833.39"/>
        <n v="11708.85"/>
        <n v="795.0"/>
        <n v="100.75"/>
        <n v="2537.82"/>
        <n v="2710.23"/>
        <n v="1039.0"/>
        <n v="798.65"/>
        <n v="3874.8"/>
        <n v="7466.96"/>
        <n v="1093.69"/>
        <n v="8252.52"/>
        <n v="5457.95"/>
        <n v="543.62"/>
        <n v="9569.08"/>
        <n v="9645.12"/>
        <n v="303.84"/>
        <n v="228.78"/>
        <n v="2884.16"/>
        <n v="1189.04"/>
        <n v="1612.96"/>
        <n v="507.63"/>
        <n v="2128.95"/>
        <n v="8753.15"/>
        <n v="6259.84"/>
        <n v="9862.15"/>
        <n v="4863.6"/>
        <n v="904.01"/>
        <n v="3502.75"/>
        <n v="1034.4"/>
        <n v="2707.5"/>
        <n v="2141.25"/>
        <n v="12423.7"/>
        <n v="8731.32"/>
        <n v="9316.12"/>
        <n v="130.05"/>
        <n v="1564.37"/>
        <n v="9271.76"/>
        <n v="2168.85"/>
        <n v="242.27"/>
        <n v="2559.0"/>
        <n v="11496.1"/>
        <n v="5385.65"/>
        <n v="9780.0"/>
        <n v="11122.85"/>
        <n v="1840.11"/>
        <n v="2081.9"/>
        <n v="1603.2"/>
        <n v="956.28"/>
        <n v="1898.36"/>
        <n v="12152.15"/>
        <n v="812.49"/>
        <n v="243.36"/>
        <n v="785.72"/>
        <n v="9035.7"/>
        <n v="8020.1"/>
        <n v="218.25"/>
        <n v="1524.07"/>
        <n v="9570.6"/>
        <n v="3976.0"/>
        <n v="3406.94"/>
        <n v="615.75"/>
        <n v="5646.66"/>
        <n v="1676.72"/>
        <n v="3022.16"/>
        <n v="8684.5"/>
        <n v="4481.08"/>
        <n v="6211.7"/>
        <n v="6630.48"/>
        <n v="1497.66"/>
        <n v="1741.05"/>
        <n v="648.92"/>
        <n v="3185.2"/>
        <n v="2654.54"/>
        <n v="9539.44"/>
        <n v="1138.92"/>
        <n v="3165.46"/>
        <n v="1362.97"/>
        <n v="5453.4"/>
        <n v="5888.37"/>
        <n v="785.65"/>
        <n v="3735.55"/>
        <n v="1030.99"/>
        <n v="2431.35"/>
        <n v="7592.15"/>
        <n v="10504.2"/>
        <n v="2522.44"/>
        <n v="2418.11"/>
        <n v="7499.31"/>
        <n v="2457.48"/>
        <n v="7606.96"/>
        <n v="3716.95"/>
        <n v="10478.2"/>
        <n v="2124.22"/>
        <n v="6815.45"/>
        <n v="1468.39"/>
        <n v="9115.75"/>
        <n v="8970.56"/>
        <n v="3782.7"/>
        <n v="9530.56"/>
        <n v="4595.0"/>
        <n v="8156.1"/>
        <n v="8404.72"/>
        <n v="9344.55"/>
        <n v="1898.24"/>
        <n v="1223.98"/>
        <n v="806.96"/>
        <n v="2897.12"/>
        <n v="174.28"/>
        <n v="1093.68"/>
        <n v="7188.75"/>
        <n v="3277.35"/>
        <n v="701.55"/>
        <n v="1664.74"/>
        <n v="3021.52"/>
        <n v="1237.66"/>
        <n v="3944.32"/>
        <n v="7937.68"/>
        <n v="3074.24"/>
        <n v="7329.56"/>
        <n v="1834.12"/>
        <n v="5338.02"/>
        <n v="4969.3"/>
        <n v="1484.36"/>
        <n v="4986.9"/>
        <n v="1010.17"/>
        <n v="12363.05"/>
        <n v="6964.36"/>
        <n v="3871.56"/>
        <n v="4795.35"/>
        <n v="1156.44"/>
        <n v="864.87"/>
        <n v="3492.96"/>
        <n v="2146.05"/>
        <n v="4236.6"/>
        <n v="1528.74"/>
        <n v="11241.75"/>
        <n v="4777.58"/>
        <n v="9375.24"/>
        <n v="421.74"/>
        <n v="6462.05"/>
        <n v="2199.08"/>
        <n v="2317.48"/>
        <n v="797.71"/>
        <n v="9305.0"/>
        <n v="1006.55"/>
        <n v="7557.12"/>
        <n v="2902.6"/>
        <n v="4533.42"/>
        <n v="1149.92"/>
        <n v="8790.8"/>
        <n v="273.01"/>
        <n v="434.9"/>
        <n v="2158.77"/>
        <n v="1912.53"/>
        <n v="10984.15"/>
        <n v="3984.3"/>
        <n v="5165.52"/>
        <n v="1522.98"/>
        <n v="8444.6"/>
        <n v="10786.85"/>
        <n v="2569.96"/>
        <n v="10571.0"/>
        <n v="7455.95"/>
        <n v="9245.35"/>
        <n v="6451.48"/>
        <n v="2682.68"/>
        <n v="2081.56"/>
        <n v="5252.2"/>
        <n v="3233.28"/>
        <n v="8371.48"/>
        <n v="3652.06"/>
        <n v="7782.68"/>
        <n v="1898.54"/>
        <n v="511.8"/>
        <n v="1114.02"/>
        <n v="2100.03"/>
        <n v="2242.24"/>
        <n v="3825.66"/>
        <n v="2537.76"/>
        <n v="6353.75"/>
        <n v="1682.96"/>
        <n v="1656.59"/>
        <n v="762.46"/>
        <n v="8314.05"/>
        <n v="855.84"/>
        <n v="542.22"/>
        <n v="1112.81"/>
        <n v="720.63"/>
        <n v="4447.92"/>
        <n v="763.62"/>
        <n v="1468.26"/>
        <n v="11782.5"/>
        <n v="56.71"/>
        <n v="4267.6"/>
        <n v="3336.6"/>
        <n v="7928.75"/>
        <n v="917.32"/>
        <n v="2984.65"/>
        <n v="1650.53"/>
        <n v="2114.99"/>
        <n v="507.6"/>
        <n v="4844.52"/>
        <n v="1082.94"/>
        <n v="5789.64"/>
        <n v="3492.56"/>
        <n v="11954.2"/>
        <n v="1415.48"/>
        <n v="2768.18"/>
        <n v="5799.21"/>
        <n v="7463.65"/>
        <n v="1170.2"/>
        <n v="2277.4"/>
        <n v="2656.76"/>
        <n v="1074.3"/>
        <n v="499.69"/>
        <n v="9768.92"/>
        <n v="4997.28"/>
        <n v="4667.44"/>
        <n v="302.94"/>
        <n v="4875.54"/>
        <n v="3845.34"/>
        <n v="8051.24"/>
        <n v="1673.73"/>
        <n v="5759.25"/>
        <n v="4128.0"/>
        <n v="3713.2"/>
        <n v="4151.82"/>
        <n v="4062.05"/>
        <n v="848.24"/>
        <n v="1787.41"/>
        <n v="1250.82"/>
        <n v="7181.76"/>
        <n v="3622.7"/>
        <n v="3331.46"/>
        <n v="1373.32"/>
        <n v="3799.32"/>
        <n v="3747.38"/>
        <n v="907.55"/>
        <n v="5146.1"/>
        <n v="2355.82"/>
        <n v="4855.29"/>
        <n v="2064.2"/>
        <n v="5762.2"/>
        <n v="3154.47"/>
        <n v="1339.47"/>
        <n v="879.78"/>
        <n v="4004.6"/>
        <n v="8898.44"/>
        <n v="563.11"/>
        <n v="1165.81"/>
        <n v="2874.76"/>
        <n v="4948.72"/>
        <n v="7507.52"/>
        <n v="1800.04"/>
        <n v="9040.9"/>
        <n v="3659.36"/>
        <n v="210.37"/>
        <n v="1767.16"/>
        <n v="3665.94"/>
        <n v="5796.6"/>
        <n v="361.47"/>
        <n v="339.04"/>
        <n v="2908.11"/>
        <n v="1318.47"/>
        <n v="1943.33"/>
        <n v="2040.92"/>
        <n v="1626.83"/>
        <n v="3411.03"/>
        <n v="3649.77"/>
        <n v="5709.4"/>
        <n v="833.62"/>
        <n v="1737.45"/>
        <n v="1346.1"/>
        <n v="5509.1"/>
        <n v="5530.11"/>
        <n v="627.26"/>
        <n v="5501.76"/>
        <n v="4192.47"/>
        <n v="4815.72"/>
        <n v="4325.91"/>
        <n v="2978.85"/>
        <n v="913.3"/>
        <n v="12026.55"/>
        <n v="1586.74"/>
        <n v="4061.4"/>
        <n v="2127.13"/>
        <n v="6765.87"/>
        <n v="3233.92"/>
        <n v="4285.64"/>
        <n v="878.72"/>
        <n v="6808.53"/>
        <n v="6006.63"/>
        <n v="877.11"/>
        <n v="1523.4"/>
        <n v="6132.76"/>
        <n v="3423.39"/>
        <n v="1781.52"/>
        <n v="1307.54"/>
        <n v="2357.06"/>
        <n v="3652.68"/>
        <n v="10956.2"/>
        <n v="276.58"/>
        <n v="12134.35"/>
        <n v="5385.5"/>
        <n v="2762.04"/>
        <n v="4862.67"/>
        <n v="2612.36"/>
        <n v="5287.8"/>
        <n v="2585.8"/>
        <n v="346.08"/>
        <n v="664.32"/>
        <n v="8740.16"/>
        <n v="4428.38"/>
        <n v="215.41"/>
        <n v="1097.51"/>
        <n v="3737.6"/>
        <n v="4743.2"/>
        <n v="1752.92"/>
        <n v="1053.8"/>
        <n v="1145.32"/>
        <n v="1017.27"/>
        <n v="4493.3"/>
        <n v="1347.85"/>
        <n v="6569.73"/>
        <n v="5650.15"/>
        <n v="4457.22"/>
        <n v="4710.36"/>
        <n v="7409.25"/>
        <n v="6955.84"/>
        <n v="5961.81"/>
        <n v="8200.7"/>
        <n v="4840.82"/>
        <n v="991.02"/>
        <n v="898.98"/>
        <n v="1532.34"/>
        <n v="7198.59"/>
        <n v="9635.4"/>
        <n v="1944.02"/>
        <n v="2320.42"/>
        <n v="536.87"/>
        <n v="2083.1"/>
        <n v="5877.25"/>
        <n v="5094.44"/>
        <n v="7013.3"/>
        <n v="591.27"/>
        <n v="2135.79"/>
        <n v="1505.12"/>
        <n v="2198.02"/>
        <n v="685.28"/>
        <n v="1249.46"/>
        <n v="1389.51"/>
        <n v="776.93"/>
        <n v="1622.48"/>
        <n v="4978.62"/>
        <n v="5546.85"/>
        <n v="793.75"/>
        <n v="1838.54"/>
        <n v="2423.13"/>
        <n v="3536.98"/>
        <n v="2009.76"/>
        <n v="289.48"/>
        <n v="443.81"/>
        <n v="6515.08"/>
        <n v="7008.84"/>
        <n v="1299.98"/>
        <n v="8844.25"/>
        <n v="518.45"/>
        <n v="10140.6"/>
        <n v="1284.06"/>
        <n v="1880.14"/>
        <n v="1061.61"/>
        <n v="1129.38"/>
        <n v="5543.4"/>
        <n v="12381.05"/>
        <n v="4621.04"/>
        <n v="2044.78"/>
        <n v="552.65"/>
        <n v="5814.4"/>
        <n v="6186.75"/>
        <n v="5417.25"/>
        <n v="2488.53"/>
        <n v="4136.68"/>
        <n v="1390.26"/>
        <n v="5753.64"/>
        <n v="6688.38"/>
        <n v="648.18"/>
        <n v="664.21"/>
        <n v="1649.44"/>
        <n v="1247.08"/>
        <n v="1261.2"/>
        <n v="6078.68"/>
        <n v="2441.25"/>
        <n v="6631.02"/>
        <n v="9463.65"/>
        <n v="3154.4"/>
        <n v="2439.5"/>
        <n v="8057.32"/>
        <n v="7216.44"/>
        <n v="2293.23"/>
        <n v="3426.36"/>
        <n v="4643.44"/>
        <n v="6481.95"/>
        <n v="9190.48"/>
        <n v="8977.95"/>
        <n v="2087.73"/>
        <n v="3504.9"/>
        <n v="1654.16"/>
        <n v="1127.84"/>
        <n v="3423.5"/>
        <n v="2993.28"/>
        <n v="1687.5"/>
        <n v="1259.75"/>
        <n v="1705.71"/>
        <n v="2982.72"/>
        <n v="3251.73"/>
        <n v="9019.64"/>
        <n v="8077.15"/>
        <n v="411.02"/>
        <n v="3328.92"/>
        <n v="11280.2"/>
        <n v="2465.44"/>
        <n v="825.16"/>
        <n v="890.66"/>
        <n v="3625.26"/>
        <n v="10744.95"/>
        <n v="1560.05"/>
        <n v="3342.3"/>
        <n v="2261.15"/>
        <n v="157.89"/>
        <n v="6181.05"/>
        <n v="656.82"/>
        <n v="157.06"/>
        <n v="2294.28"/>
        <n v="90.89"/>
        <n v="5856.16"/>
        <n v="2761.04"/>
        <n v="7611.76"/>
        <n v="2281.58"/>
        <n v="4077.2"/>
        <n v="2227.82"/>
        <n v="2246.48"/>
        <n v="1488.3"/>
        <n v="5027.3"/>
        <n v="379.11"/>
        <n v="6968.48"/>
        <n v="2286.48"/>
        <n v="1955.27"/>
        <n v="1440.56"/>
        <n v="3273.78"/>
        <n v="4896.0"/>
        <n v="4700.64"/>
        <n v="4193.1"/>
        <n v="778.5"/>
        <n v="832.25"/>
        <n v="3489.9"/>
        <n v="3731.1"/>
        <n v="2363.34"/>
        <n v="3004.89"/>
        <n v="1708.81"/>
        <n v="7011.0"/>
        <n v="85.19"/>
        <n v="961.8"/>
        <n v="3853.62"/>
        <n v="4870.3"/>
        <n v="3616.3"/>
        <n v="7878.76"/>
        <n v="2351.13"/>
        <n v="521.76"/>
        <n v="1634.06"/>
        <n v="6662.4"/>
        <n v="1366.45"/>
        <n v="1565.6"/>
        <n v="3594.93"/>
        <n v="2278.24"/>
        <n v="6688.52"/>
        <n v="6412.08"/>
        <n v="3230.13"/>
        <n v="4813.0"/>
        <n v="6235.65"/>
        <n v="460.41"/>
        <n v="3338.52"/>
        <n v="5074.36"/>
        <n v="724.64"/>
        <n v="1868.2"/>
        <n v="7831.8"/>
        <n v="288.64"/>
        <n v="4656.64"/>
        <n v="494.57"/>
        <n v="10728.8"/>
        <n v="4233.38"/>
        <n v="2312.52"/>
        <n v="2064.08"/>
        <n v="710.96"/>
        <n v="2083.24"/>
        <n v="2455.83"/>
        <n v="7169.91"/>
        <n v="1994.18"/>
        <n v="9697.8"/>
        <n v="787.6"/>
        <n v="3421.04"/>
        <n v="1634.62"/>
        <n v="303.3"/>
        <n v="303.05"/>
        <n v="806.78"/>
        <n v="2224.59"/>
        <n v="1423.68"/>
        <n v="3290.05"/>
        <n v="1685.08"/>
        <n v="814.63"/>
        <n v="1027.85"/>
        <n v="1571.64"/>
        <n v="1220.85"/>
        <n v="9124.04"/>
        <n v="3816.05"/>
        <n v="3423.76"/>
        <n v="6262.35"/>
        <n v="5595.85"/>
        <n v="4211.8"/>
        <n v="7085.0"/>
        <n v="3731.16"/>
        <n v="4845.21"/>
        <n v="1627.59"/>
        <n v="6801.64"/>
        <n v="1035.07"/>
        <n v="3857.85"/>
        <n v="5094.84"/>
        <n v="1808.04"/>
        <n v="3288.84"/>
        <n v="4061.24"/>
        <n v="7028.05"/>
        <n v="2258.32"/>
        <n v="6931.83"/>
        <n v="7276.65"/>
        <n v="944.98"/>
        <n v="5630.22"/>
        <n v="10158.95"/>
        <n v="1031.51"/>
        <n v="1758.08"/>
        <n v="292.99"/>
        <n v="3151.7"/>
        <n v="2160.93"/>
        <n v="11548.8"/>
        <n v="633.29"/>
        <n v="2654.7"/>
        <n v="127.35"/>
        <n v="5041.4"/>
        <n v="9500.05"/>
        <n v="1254.96"/>
        <n v="432.18"/>
        <n v="4746.24"/>
        <n v="1160.28"/>
        <n v="841.77"/>
        <n v="3003.9"/>
        <n v="3845.05"/>
        <n v="7538.45"/>
        <n v="10434.55"/>
        <n v="4371.84"/>
        <n v="2114.97"/>
        <n v="8308.72"/>
        <n v="7738.55"/>
        <n v="7778.92"/>
        <n v="1459.53"/>
        <n v="2039.46"/>
        <n v="5010.33"/>
        <n v="10043.9"/>
        <n v="7383.78"/>
        <n v="8897.68"/>
        <n v="1979.07"/>
        <n v="2795.6"/>
        <n v="3273.3"/>
        <n v="10931.25"/>
        <n v="4702.65"/>
        <n v="6870.68"/>
        <n v="778.63"/>
        <n v="11259.6"/>
        <n v="1770.14"/>
        <n v="489.63"/>
        <n v="3126.3"/>
        <n v="784.39"/>
        <n v="3439.06"/>
        <n v="4308.65"/>
        <n v="4944.0"/>
        <n v="6786.52"/>
        <n v="8316.1"/>
        <n v="5975.91"/>
        <n v="9590.2"/>
        <n v="10577.7"/>
        <n v="12348.75"/>
        <n v="4349.78"/>
        <n v="4595.68"/>
        <n v="4990.12"/>
        <n v="2276.61"/>
        <n v="4883.4"/>
        <n v="1465.56"/>
        <n v="612.22"/>
        <n v="1976.88"/>
        <n v="4007.84"/>
        <n v="2598.4"/>
        <n v="3682.84"/>
        <n v="5445.15"/>
        <n v="2002.96"/>
        <n v="3143.64"/>
        <n v="685.68"/>
        <n v="4273.16"/>
        <n v="869.7"/>
        <n v="11359.9"/>
        <n v="9845.8"/>
        <n v="2545.26"/>
        <n v="2334.37"/>
        <n v="3241.75"/>
        <n v="8970.45"/>
        <n v="1974.72"/>
        <n v="3299.16"/>
        <n v="4225.92"/>
        <n v="3728.08"/>
        <n v="10701.65"/>
        <n v="554.25"/>
        <n v="346.72"/>
        <n v="5805.45"/>
        <n v="7694.24"/>
        <n v="11318.9"/>
        <n v="3663.12"/>
        <n v="4766.84"/>
        <n v="314.84"/>
        <n v="3448.62"/>
        <n v="1118.76"/>
        <n v="1769.76"/>
        <n v="2108.31"/>
        <n v="9044.48"/>
        <n v="6310.0"/>
        <n v="844.32"/>
        <n v="4247.6"/>
        <n v="4611.12"/>
        <n v="5381.82"/>
        <n v="2144.75"/>
        <n v="4927.11"/>
        <n v="317.64"/>
        <n v="4354.64"/>
        <n v="5825.84"/>
        <n v="4418.16"/>
        <n v="1205.76"/>
        <n v="4948.95"/>
        <n v="695.92"/>
        <n v="4026.44"/>
        <n v="4136.18"/>
        <n v="2929.08"/>
        <n v="3100.25"/>
        <n v="3995.43"/>
        <n v="2856.72"/>
        <n v="3963.0"/>
        <n v="1811.9"/>
        <n v="2686.8"/>
        <n v="6194.76"/>
        <n v="8598.36"/>
        <n v="619.4"/>
        <n v="2086.06"/>
        <n v="6058.62"/>
        <n v="3292.32"/>
        <n v="6884.88"/>
        <n v="674.45"/>
        <n v="3090.56"/>
        <n v="1615.92"/>
      </sharedItems>
    </cacheField>
    <cacheField name="Cliente" numFmtId="0">
      <sharedItems>
        <s v="Rebeca Salvador Gamez García"/>
        <s v="Evelio Ramiro Arce"/>
        <s v="Sandra Baez"/>
        <s v="Uriel Helena Caldera"/>
        <s v="Wendolin Jeronimo Farías"/>
        <s v="Esteban Ureña"/>
        <s v="Aida Ojeda Galindo"/>
        <s v="Cristal Luis Manuel Sanchez"/>
        <s v="Daniela Padron"/>
        <s v="Lic. Elena Zepeda"/>
        <s v="Cristal Rincon"/>
        <s v="Francisca Lucas Jaimes Zavala"/>
        <s v="Elisa Soria"/>
        <s v="Rosalia Alcantar"/>
        <s v="Fernando Marquez Almaraz"/>
        <s v="Indira Guadalupe Montez Alcaraz"/>
        <s v="Ing. María José Noriega"/>
        <s v="Mtro. César Verduzco"/>
        <s v="Ernesto Rendon"/>
        <s v="Julio César Fernando Cordero"/>
        <s v="Augusto Oswaldo Arce Guardado"/>
        <s v="Maximiliano Omar Brito Vega"/>
        <s v="Alejandra Najera Miramontes"/>
        <s v="Benjamín Marcela Lucero"/>
        <s v="Eloy Godoy del Río"/>
        <s v="Luis Manuel Ilse Apodaca"/>
        <s v="Eugenio Juana Orta Chapa"/>
        <s v="Octavio Briseño Corrales"/>
        <s v="Patricio Puga"/>
        <s v="Antonio Adriana Razo"/>
        <s v="Isabel Maya"/>
        <s v="Lic. Carlota Ontiveros"/>
        <s v="Itzel Puente Téllez"/>
        <s v="Daniela Uribe"/>
        <s v="Gustavo Berta Aragon"/>
        <s v="Lorenzo Wendolin Méndez Gollum"/>
        <s v="Serafín Samuel Tamayo Baez"/>
        <s v="Irene Domínguez"/>
        <s v="María Cristina Valdivia Mondragon"/>
        <s v="Diego Fernandez"/>
        <s v="Dolores Jesús Quiñonez Lebron"/>
        <s v="Karina Jeronimo Pérez Mojica"/>
        <s v="Octavio Isabela Barraza"/>
        <s v="Mariano Fuentes Esquibel"/>
        <s v="Asuncion Samaniego"/>
        <s v="Marcela Paez"/>
        <s v="Alta  Gracia Alicia Guzman"/>
        <s v="Rodrigo Vanegas Serna"/>
        <s v="Luis Camila Guardado"/>
        <s v="Mtro. Rafaél Najera"/>
        <s v="Clemente Lucas de la Crúz Florez"/>
        <s v="Ing. Cecilia Gurule"/>
        <s v="Elias Juan Carlos Estévez Cepeda"/>
        <s v="Alta  Gracia Marrero Ocasio"/>
        <s v="Esmeralda Bañuelos"/>
        <s v="Angélica Bueno Olvera"/>
        <s v="Roberto Casarez Lozada"/>
        <s v="Dr. Pedro Zapata"/>
        <s v="Mtro. Salma de la Garza"/>
        <s v="Tania Soto Nieves"/>
        <s v="Leticia Luevano Mayorga"/>
        <s v="Lic. Leonel Orosco"/>
        <s v="Hernan Anguiano"/>
        <s v="Dr. Yolanda Miranda"/>
        <s v="Ing. Judith Ayala"/>
        <s v="Carmen Rufino Téllez Benavides"/>
        <s v="Wendolin Fonseca"/>
        <s v="Mariano Leticia Palomino"/>
        <s v="Veronica Wendolin Teran"/>
        <s v="Sandra Marisol Vergara"/>
        <s v="Sr(a). Julio César Collazo"/>
        <s v="Mariana Jeronimo Partida Tejeda"/>
        <s v="Alma Galvan"/>
        <s v="Lic. Santiago Montenegro"/>
        <s v="Jorge Sepúlveda"/>
        <s v="Fernando Almanza Duran"/>
        <s v="Sr(a). Camilo Partida"/>
        <s v="Ing. Ilse Ocasio"/>
        <s v="José Manuél Indira Ledesma Treviño"/>
        <s v="Vanesa José Santana"/>
        <s v="Eloisa Orta"/>
        <s v="Cristal Andrés Gomez"/>
        <s v="Elena Ballesteros"/>
        <s v="Rocío Villareal"/>
        <s v="Natividad Armenta Espino"/>
        <s v="Aurora Esteban Sisneros Centeno"/>
        <s v="Lic. Abraham Guillen"/>
        <s v="Sr(a). Aurelio Lemus"/>
        <s v="Abel Emilio Robledo"/>
        <s v="Mtro. Estela Villanueva"/>
        <s v="Enrique Crespo Alvarez"/>
        <s v="Víctor Jaramillo"/>
        <s v="Asuncion Badillo"/>
        <s v="Rosalia Florencia Contreras"/>
        <s v="Diego Armando Portillo"/>
        <s v="Dr. Diana Olivas"/>
        <s v="Rufino Lucero Urrutia"/>
        <s v="Fabiola Angélica Bravo"/>
        <s v="Lourdes Godoy Niño"/>
        <s v="Guillermina Carbajal"/>
        <s v="Leonardo José Luis Manzanares Trujillo"/>
        <s v="Abel Leticia Calderon Gallegos"/>
        <s v="Mauricio Pamela Villegas"/>
        <s v="Josefina Zarate"/>
        <s v="Olga Castillo Longoria"/>
        <s v="Sr(a). Luis Manuel Arriaga"/>
        <s v="Antonio Jesús Vallejo Bravo"/>
        <s v="René Rafaél Rocha"/>
        <s v="Rodrigo Aldonza Polanco"/>
        <s v="José Luis Alarcon"/>
        <s v="Hermelinda Clemente Sisneros"/>
        <s v="Javier Ofelia Quintanilla Villa"/>
        <s v="Rufino Amador Ochoa"/>
        <s v="Cristina Esteban Quintero"/>
        <s v="Estefanía Modesto Lebron Figueroa"/>
        <s v="Carlos Esteban Nieves Zarate"/>
        <s v="Sr(a). David Preciado"/>
        <s v="Bianca Ávalos Cantú"/>
        <s v="Veronica Jurado Gonzales"/>
        <s v="Dr. Estefanía Piña"/>
        <s v="Alfredo Cintron"/>
        <s v="Daniel Campos"/>
        <s v="Olivia Zavala"/>
        <s v="Estela Zamora Téllez"/>
        <s v="Eric Amador Santiago"/>
        <s v="Vanesa Valverde Gaona"/>
        <s v="Lic. Alfredo Florez"/>
        <s v="Alejandro Hermelinda Mondragon Alvarado"/>
        <s v="Ing. Guadalupe Borrego"/>
        <s v="Carmen Macías"/>
        <s v="Sr(a). Manuel Torrez"/>
        <s v="Minerva Lorena Santana Botello"/>
        <s v="Nadia Fernando Guerra Arroyo"/>
        <s v="Abraham Loera Mondragon"/>
        <s v="Mtro. Bianca Mayorga"/>
        <s v="Esperanza Victoria Rendon"/>
        <s v="Agustín Esparza"/>
        <s v="Guillermina Bañuelos Varela"/>
        <s v="Alejandro Tomas Arellano"/>
        <s v="Ana Perla Zavala Laboy"/>
        <s v="Sr(a). Ricardo Velasco"/>
        <s v="Abril Julio Torrez Segovia"/>
        <s v="Bruno Samuel Acosta Rascon"/>
        <s v="Octavio Santacruz Lucero"/>
        <s v="Alma Mondragon Elizondo"/>
        <s v="Omar Irene Corral"/>
        <s v="Abelardo Héctor Brito Solorzano"/>
        <s v="Julia Gonzalo Armendariz"/>
        <s v="Indira Eric Rentería Velazquez"/>
        <s v="César Burgos Florez"/>
        <s v="Juan Lopez"/>
        <s v="Omar Carla Miranda"/>
        <s v="Virginia Irma Rolon Arteaga"/>
        <s v="Pedro Tamayo"/>
        <s v="Amanda Cantú Segura"/>
        <s v="Mtro. Flavio Teran"/>
        <s v="Andrés Brito"/>
        <s v="César Barrera Orta"/>
        <s v="Jacobo Adan Aparicio Tejada"/>
        <s v="César Fabiola Palacios"/>
        <s v="Patricio Narvaez Holguín"/>
        <s v="Israel Barragan"/>
        <s v="Ing. Elsa Prieto"/>
        <s v="Bianca Abel Valentín Alarcon"/>
        <s v="Emiliano Liliana Olivares Bañuelos"/>
        <s v="Marcos Adriana Orosco Bétancourt"/>
        <s v="Aldo Lira"/>
        <s v="Delia Wilfrido Valladares Tapia"/>
        <s v="Evelio Holguín Galarza"/>
        <s v="Gonzalo Cortés Nieto"/>
        <s v="Tania José Salcedo"/>
        <s v="Ignacio Leonor Guajardo"/>
        <s v="Ing. Vanesa Bustos"/>
        <s v="Órsula Guardado"/>
        <s v="Esperanza Domínguez"/>
        <s v="Sr(a). Carlota Torrez"/>
        <s v="Lilia Bétancourt Parra"/>
        <s v="Luisa Gilberto Trujillo"/>
        <s v="María Cristina Rebeca Quiñones Davila"/>
        <s v="Dalia María Cristina Robledo Escobar"/>
        <s v="Karina Galvez Duran"/>
        <s v="Nancy Horacio Porras"/>
        <s v="Dr. Agustín Sandoval"/>
        <s v="German Corral"/>
        <s v="German Leon"/>
        <s v="Estela Tijerina"/>
        <s v="Lic. Anel Cervantez"/>
        <s v="Lic. Ignacio Corrales"/>
        <s v="Mariano Borrego"/>
        <s v="Barbara Perla Godínez"/>
        <s v="Veronica de Leon Covarrubias"/>
        <s v="Carmen Colunga"/>
        <s v="Wendolin Elvia Osorio Gallardo"/>
        <s v="Sandra Cornelio Nava Galarza"/>
        <s v="Eugenio Monica Reséndez"/>
        <s v="Espartaco Godoy Fuentes"/>
        <s v="Judith José María Menchaca Nieves"/>
        <s v="Dr. Emilio Leiva"/>
        <s v="Yeni Tafoya"/>
        <s v="Noemí Julia Zepeda"/>
        <s v="Victoria Gurule"/>
        <s v="Dolores Minerva Frías Baeza"/>
        <s v="Aldonza Arriaga"/>
        <s v="Liliana Pedraza"/>
        <s v="Hilda Soto Serna"/>
        <s v="Jonas Corrales"/>
        <s v="Berta Aldonza Toro Colunga"/>
        <s v="Mercedes Amanda Jurado Centeno"/>
        <s v="Eric Lorenzo Raya"/>
        <s v="José Carlos Soledad Osorio Rodrígez"/>
        <s v="Lic. Mariana Urbina"/>
        <s v="Mateo Flavio Uribe García"/>
        <s v="Manuel Ivan Alarcon Noriega"/>
        <s v="Agustín Rocha"/>
        <s v="Luz Eduardo Villegas Leon"/>
        <s v="Lorenzo Zaragoza Niño"/>
        <s v="Magdalena del Río Covarrubias"/>
        <s v="Nadia Ana María Merino Arteaga"/>
        <s v="Ing. Marcela Guzman"/>
        <s v="Marisol Espinosa Briones"/>
        <s v="Victoria Cabrera Armenta"/>
        <s v="Paulina Garibay Gracia"/>
        <s v="Olga Evelio Solorio"/>
        <s v="Alfonso Alejandra Aguilera"/>
        <s v="Marcos Amador"/>
        <s v="Lic. Rosalia Martínez"/>
        <s v="Lic. Juan Ortega"/>
        <s v="María Eugenia Guajardo Ayala"/>
        <s v="Elvia Pulido Brito"/>
        <s v="Leonel Ponce"/>
        <s v="Ignacio de la Garza"/>
        <s v="Martha Tamayo Niño"/>
        <s v="Elsa Alonso Rivera"/>
        <s v="Concepcion Isabel Becerra del Valle"/>
        <s v="Zoé Claudia Barraza Cornejo"/>
        <s v="Ing. Hernan Vallejo"/>
        <s v="María Cristina Raquel Carranza Orosco"/>
        <s v="Violeta Celia Valverde"/>
        <s v="Yolanda Rafaél Gamez"/>
        <s v="Laura Vaca Madera"/>
        <s v="Hermelinda Mota"/>
        <s v="Ángel Aldo Tello Noriega"/>
        <s v="Mtro. Magdalena Morales"/>
        <s v="Lorenzo Minerva Ocampo Aguilar"/>
        <s v="Arcelia Nieves"/>
        <s v="Frida Alba"/>
        <s v="Mtro. Carmen Leyva"/>
        <s v="Alejandra Araceli Gutiérrez"/>
        <s v="Jeronimo Julia Peralta"/>
        <s v="Sr(a). Vicente Ureña"/>
        <s v="Ing. Alejandra Delgadillo"/>
        <s v="Antonio Juana Soria"/>
        <s v="Patricio Palomino"/>
        <s v="Elias Sotelo Espinal"/>
        <s v="Mtro. Camila Montemayor"/>
        <s v="Aldonza Hernan Sosa"/>
        <s v="Gabino Conchita Bueno"/>
        <s v="Ruby Virginia Salcido"/>
        <s v="Cristian Jacinto Ornelas"/>
        <s v="Eloisa Octavio Quintero"/>
        <s v="Reynaldo Darío Rivas"/>
        <s v="Nelly Hernan Ríos Guardado"/>
        <s v="Gerardo Monica Cornejo Collado"/>
        <s v="Esparta Gracia"/>
        <s v="Citlali Jorge Gastélum"/>
        <s v="René Luna Pineda"/>
        <s v="Jaime Gomez"/>
        <s v="Camilo Terrazas Merino"/>
        <s v="Ramon Godoy"/>
        <s v="Amador Juan Tafoya Hinojosa"/>
        <s v="Yuridia Madrid"/>
        <s v="Humberto Rosas"/>
        <s v="Ing. Liliana Puente"/>
        <s v="Miguel Luis Giron Montañez"/>
        <s v="Karla Berríos"/>
        <s v="Íliver Ulloa"/>
        <s v="María José Zeferino Avilés Zarate"/>
        <s v="Sr(a). Ángela Navarro"/>
        <s v="Sergio Hugo Benavídez García"/>
        <s v="Salvador Barela"/>
        <s v="Sr(a). Carlota Aguayo"/>
        <s v="Sr(a). Monica Cortez"/>
        <s v="Abel Véliz"/>
        <s v="Gilberto Arellano Lozano"/>
        <s v="Cristina Miguel Madrid"/>
        <s v="Ing. Blanca Alfaro"/>
        <s v="Rocío José Luis Villareal Vargas"/>
        <s v="Ing. Cristina Gamez"/>
        <s v="Mtro. Zeferino Oquendo"/>
        <s v="Julio Fuentes"/>
        <s v="Lic. Pedro Jasso"/>
        <s v="Lic. Patricia Feliciano"/>
        <s v="Fidel Celia Roque Vallejo"/>
        <s v="Victoria Wendolin Terrazas Carvajal"/>
        <s v="Mtro. Emiliano Estévez"/>
        <s v="Ing. Mitzy Ordoñez"/>
        <s v="Alfonso Geronimo Tovar Merino"/>
        <s v="Jeronimo José Manuél Magaña"/>
        <s v="Oswaldo Jorge Mota"/>
        <s v="Zeferino Clara Ureña Ramos"/>
        <s v="Eva Julio Corrales"/>
        <s v="Eva Rivas Gallardo"/>
        <s v="Gilberto Tamez Sanches"/>
        <s v="Elias Carmen Téllez"/>
        <s v="Socorro Arcelia Alejandro"/>
        <s v="Alejandro Aida Esquibel Candelaria"/>
        <s v="Camila Arcelia Enríquez Hinojosa"/>
        <s v="Claudio Ana Aguirre Urías"/>
        <s v="Adan Perla Orosco"/>
        <s v="Ing. Fernando Calderon"/>
        <s v="Sr(a). Carla Nevarez"/>
        <s v="Eduardo Benavídez Leal"/>
        <s v="Elena Guardado Enríquez"/>
        <s v="Julia Najera"/>
        <s v="Uriel Abel Rivero Vargas"/>
        <s v="José Manuél Barrios"/>
        <s v="Mtro. Perla Meléndez"/>
        <s v="Santiago Frías"/>
        <s v="Elvira Laboy"/>
        <s v="Sr(a). Lucía Montoya"/>
        <s v="Cynthia Aguilera Figueroa"/>
        <s v="Arturo Haro Varela"/>
        <s v="Marcela Augusto Baca"/>
        <s v="Israel Paredes"/>
        <s v="Lorenzo Collado Gastélum"/>
        <s v="Amanda Baez"/>
        <s v="Ing. Pilar Laboy"/>
        <s v="Cecilia Casas Ledesma"/>
        <s v="Órsula Cristian Ledesma Lara"/>
        <s v="Lic. Berta Cortés"/>
        <s v="Eugenio Marcos Lara"/>
        <s v="Catalina Adela Galarza Camacho"/>
        <s v="Jesús Jimínez"/>
        <s v="Ing. Abraham Giron"/>
        <s v="Marisol Lucio Perea"/>
        <s v="Esperanza Pablo Villa Segovia"/>
        <s v="Dr. Eloy Valles"/>
        <s v="Susana Valadez de la Crúz"/>
        <s v="Emilio Alva"/>
        <s v="Micaela Zavala Borrego"/>
        <s v="Cristobal Frida Lucero Chapa"/>
        <s v="Abril Fonseca"/>
        <s v="Dr. Ramon Miramontes"/>
        <s v="María Cristina Esparta Partida Lozano"/>
        <s v="Daniel Carlota Arredondo Linares"/>
        <s v="Íliver Julio César Cervantes"/>
        <s v="Emilio Peres"/>
        <s v="Dr. Irma Bañuelos"/>
        <s v="Federico Matías"/>
        <s v="Elena Delgado Menéndez"/>
        <s v="Rubén Cecilia Zarate"/>
        <s v="Martín Salma Bermúdez"/>
        <s v="Emiliano Emilio Cuellar"/>
        <s v="Lic. Estela Vanegas"/>
        <s v="Ángela Homero Bravo"/>
        <s v="Lilia Esteban Lucio"/>
        <s v="Indira Eugenia Fuentes"/>
        <s v="Olivia Amelia Cadena"/>
        <s v="Lic. Arturo Barraza"/>
        <s v="Mtro. Andrea Ríos"/>
        <s v="Alvaro Ontiveros"/>
        <s v="Ing. Zacarías Padron"/>
        <s v="German Bustos"/>
        <s v="Darío Antonia Medrano"/>
        <s v="Lic. Marisol Toledo"/>
        <s v="José Aparicio"/>
        <s v="César Jimínez"/>
        <s v="Maximiliano Puga"/>
        <s v="Miguel Granados Oquendo"/>
        <s v="Dr. Zoé Alejandro"/>
        <s v="Dr. Graciela Garibay"/>
        <s v="Mtro. Marcos Rivas"/>
        <s v="Federico Angulo"/>
        <s v="Virginia Aldonza Zamora Longoria"/>
        <s v="Diego Valdez"/>
        <s v="Caridad Alvarado"/>
        <s v="Ing. Zacarías Galvan"/>
        <s v="Camilo Cervantez"/>
        <s v="Graciela Merino"/>
        <s v="Dr. César Portillo"/>
        <s v="Gloria Caban Santana"/>
        <s v="Yolanda Elisa de la Garza"/>
        <s v="Cristobal Renato Malave Mercado"/>
        <s v="Olga Merino Benavides"/>
        <s v="Cristina Alejandro"/>
        <s v="Jaqueline Velasquez Hidalgo"/>
        <s v="Paulina Cornejo"/>
        <s v="Gerardo Elisa Franco"/>
        <s v="Uriel José María Mercado"/>
        <s v="Bernabé Colunga Cordero"/>
        <s v="Dulce María Rendon Zedillo"/>
        <s v="Wilfrido Mariana Rivero Martínez"/>
        <s v="Sara Jorge Alvarez"/>
        <s v="Alma Karina Munguía Paredes"/>
        <s v="Sr(a). Mario Cortés"/>
        <s v="Jeronimo Evelio Serrano Almonte"/>
        <s v="Isabel Quiroz"/>
        <s v="Margarita Guadalupe Ceja"/>
        <s v="Diego Benito Ramos Galvan"/>
        <s v="Tomas Cabrera Tijerina"/>
        <s v="Ana María Palacios Cardenas"/>
        <s v="Delia Jacinto Quintanilla Olvera"/>
        <s v="Olga Frías Paz"/>
        <s v="Guadalupe Marisol Negron Cazares"/>
        <s v="Mariana Guerrero Arreola"/>
        <s v="Eric Montañez Velazquez"/>
        <s v="Carolina Caban Urías"/>
        <s v="Timoteo Abelardo Urías Niño"/>
        <s v="Ricardo Eugenio Meza"/>
        <s v="Abril Ríos"/>
        <s v="Lic. Andrea Altamirano"/>
        <s v="Dalia Sosa"/>
        <s v="Abel Toro"/>
        <s v="Esther Casares"/>
        <s v="Cristina Anguiano"/>
        <s v="Marisol Santana"/>
        <s v="Benjamín Luisa Marrero Frías"/>
        <s v="Mariano Corrales Orosco"/>
        <s v="Anel Marco Antonio Patiño"/>
        <s v="Carlota Julio de Jesús"/>
        <s v="Norma Gastélum Estévez"/>
        <s v="Gilberto Mascareñas"/>
        <s v="Concepcion Elias Alonso Garrido"/>
        <s v="Cynthia Rolon"/>
        <s v="Emiliano Ofelia Luevano"/>
        <s v="Alejandra Marco Antonio Salas Contreras"/>
        <s v="Dr. Salma de Anda"/>
        <s v="Dr. Pascual Bravo"/>
        <s v="Estefanía Ruiz"/>
        <s v="Dr. Rosa Serrano"/>
        <s v="Dr. Cristobal Villa"/>
        <s v="Federico Guillermina Vargas"/>
        <s v="Dr. Abel Salcedo"/>
        <s v="Ernesto Cavazos"/>
        <s v="Emilia Federico Altamirano"/>
        <s v="Mtro. Alfredo de la Fuente"/>
        <s v="Helena Salvador Alba"/>
        <s v="Alonso Ignacio Hidalgo Montes"/>
        <s v="Espartaco Esperanza Armenta Gaitan"/>
        <s v="Ivonne Georgina Arenas"/>
        <s v="Mayte Muro"/>
        <s v="Amelia Baca"/>
        <s v="Irene Saldivar"/>
        <s v="Ángel Davila"/>
        <s v="Ing. Amanda Prado"/>
        <s v="Berta Tania Méndez Lebron"/>
        <s v="Guillermo Diana Curiel Verdugo"/>
        <s v="Hilda Vergara Tirado"/>
        <s v="Camilo Eric Medina"/>
        <s v="Emilio Campos Grijalva"/>
        <s v="Monica Cristal Chacon Candelaria"/>
        <s v="Emiliano Violeta Anguiano Paz"/>
        <s v="Oswaldo Trujillo Torrez"/>
        <s v="Nadia Pérez Medina"/>
        <s v="José Luis Ana María Robledo Cortés"/>
        <s v="Ing. Bruno Miranda"/>
        <s v="Barbara Urrutia Palacios"/>
        <s v="Ivan Amaya"/>
        <s v="Alma Leonel Morales Anguiano"/>
        <s v="David José Luis Espinosa Alonso"/>
        <s v="Alonso Gutiérrez Gonzales"/>
        <s v="Lic. Luz de la Garza"/>
        <s v="Alonso Paola Rocha"/>
        <s v="Andrea Almaraz Barajas"/>
        <s v="Natalia Carmen Madrid"/>
        <s v="Bruno Hernan Rivero"/>
        <s v="Sessa Blanco"/>
        <s v="Mtro. Alberto Calvillo"/>
        <s v="Patricio Abigail Meza"/>
        <s v="María Renato Ochoa Aguilera"/>
        <s v="María Gonzalez"/>
        <s v="Dalia Cornelio Treviño de la O"/>
        <s v="Soledad Yeni Gonzales"/>
        <s v="Benito Montañez"/>
        <s v="Abril Rolando Cardona"/>
        <s v="Paola Leyva Maestas"/>
        <s v="Diana Garza Alfaro"/>
        <s v="Silvano Alvaro Enríquez Pineda"/>
        <s v="Trinidad Holguín Bustamante"/>
        <s v="Carmen Elvira Medina"/>
        <s v="Karla Amelia Garrido Zedillo"/>
        <s v="Victoria Galvan"/>
        <s v="Sr(a). Juana Rangel"/>
        <s v="Conchita Barrientos Olvera"/>
        <s v="Mtro. Débora Escamilla"/>
        <s v="Blanca Galarza"/>
        <s v="Dr. Isabela Amador"/>
        <s v="Ivan Fuentes Fierro"/>
        <s v="Omar Nelly Gamboa"/>
        <s v="Eloy Jaime Mercado Roldan"/>
        <s v="Gregorio Cristal Amaya Zelaya"/>
        <s v="José Carlos Rojo Paez"/>
        <s v="Nayeli Abrego"/>
        <s v="Asuncion Rebeca Rivero"/>
        <s v="Sr(a). Armando Carreon"/>
        <s v="Inés Griego Lemus"/>
        <s v="Santiago Perla Carrero"/>
        <s v="Benjamín Octavio Gaona"/>
        <s v="Dr. Lucas Barela"/>
        <s v="Dr. Adela Alcala"/>
        <s v="Magdalena Carlota Pérez"/>
        <s v="Silvano Villanueva Alcaraz"/>
        <s v="Blanca Gabriela Arenas"/>
        <s v="Natividad Fernando Gastélum"/>
        <s v="Víctor Anguiano"/>
        <s v="Ofelia Francisco Javier Rojas"/>
        <s v="Ing. Marcela Linares"/>
        <s v="Lic. Cristobal Ortega"/>
        <s v="Fidel Mateo Parra Ulloa"/>
        <s v="Ing. Esteban Curiel"/>
        <s v="Gabino Barrera Quiroz"/>
        <s v="Ing. Georgina Preciado"/>
        <s v="José Eduardo Conchita Barrientos Pulido"/>
        <s v="Lucía Irma Zúñiga"/>
        <s v="Gilberto Mitzy Aguirre Macías"/>
        <s v="Ing. Catalina Montenegro"/>
        <s v="Alicia Agustín Piña"/>
        <s v="Karla Pineda Arriaga"/>
        <s v="Marco Antonio Mercado Henríquez"/>
        <s v="Sr(a). Jos Venegas"/>
        <s v="Ana María Verdugo Pichardo"/>
        <s v="Omar Casares Benavídez"/>
        <s v="Mario Fidel Laureano Castro"/>
        <s v="Hilda Razo Lerma"/>
        <s v="José Emilio Herrera Sanabria"/>
        <s v="Marisol Veronica Velasquez"/>
        <s v="Sr(a). Alta  Gracia Espino"/>
        <s v="Laura Baez"/>
        <s v="Mateo Raúl Sosa Arreola"/>
        <s v="Aldo Fonseca"/>
        <s v="Abigail Castillo"/>
        <s v="Hilda Monica Acuña Zedillo"/>
        <s v="Mauricio Oquendo Bustos"/>
        <s v="Hernan Rael"/>
        <s v="Esther Duran"/>
        <s v="Lourdes Reyes Valladares"/>
        <s v="Elias Dulce Figueroa"/>
        <s v="Cristal Leticia Varela Soliz"/>
        <s v="Martín Sara Verduzco"/>
        <s v="Rodrigo Yeni Avilés"/>
        <s v="Eugenia Zambrano Casas"/>
        <s v="Dr. Felix Pizarro"/>
        <s v="Araceli Ulloa Blanco"/>
        <s v="Espartaco Arguello Bustamante"/>
        <s v="Noelia Leon Sanches"/>
        <s v="Frida Arroyo Zepeda"/>
        <s v="Norma Celia Leiva Bañuelos"/>
        <s v="Timoteo Cynthia Cordero"/>
        <s v="Dr. Rolando Mares"/>
        <s v="Jorge Luis Baca"/>
        <s v="Jacobo Centeno Velazquez"/>
        <s v="Octavio Madrid Acevedo"/>
        <s v="Eric Bonilla"/>
        <s v="Adan Ana Ornelas Samaniego"/>
        <s v="Serafín Antonio Fonseca"/>
        <s v="Mitzy Noelia Ramos Menchaca"/>
        <s v="Clara del Valle"/>
        <s v="Olga Georgina Iglesias"/>
        <s v="Jeronimo Palomino Lozano"/>
        <s v="Leonel Salcido"/>
        <s v="Margarita Olivas"/>
        <s v="Nicolas Martín Baez"/>
        <s v="Ing. José Benavídez"/>
        <s v="Alma Paola Godoy"/>
        <s v="Íliver Téllez"/>
        <s v="María Cristina Amelia Rosario Trujillo"/>
        <s v="Indira Orozco Cuellar"/>
        <s v="Carmen Curiel Samaniego"/>
        <s v="Augusto Adan Niño"/>
        <s v="Abigail Mayorga"/>
        <s v="Gilberto Hernan Murillo"/>
        <s v="Camila María Teresa Reyna Lucero"/>
        <s v="Lic. Ana Luisa Montalvo"/>
        <s v="Juan Carlos Teresa Giron Sosa"/>
        <s v="Roberto Mateo Hurtado Leon"/>
        <s v="Isabela Mario Vigil Colunga"/>
        <s v="Karina Núñez"/>
        <s v="Wilfrido Daniela Alonso Gaytan"/>
        <s v="Mtro. Emilia Rolon"/>
        <s v="María Maximiliano Ochoa"/>
        <s v="Uriel Montes Contreras"/>
        <s v="Gerardo Sauceda"/>
        <s v="Ernesto Quezada"/>
        <s v="Abraham Israel Cortés Gaitan"/>
        <s v="Humberto Yeni Ceballos"/>
        <s v="Eugenio Almonte"/>
        <s v="Sr(a). María Navarrete"/>
        <s v="Raquel Crespo Carrion"/>
        <s v="Jonas Peña"/>
        <s v="Emilio Almaraz"/>
        <s v="Rafaél Gerardo Serrato"/>
        <s v="Claudia Suarez Galvan"/>
        <s v="Pascual Treviño"/>
        <s v="Yeni Diego Mateo Irizarry"/>
        <s v="Dr. Eugenia Jaquez"/>
        <s v="Jorge Bernardo Ávalos"/>
        <s v="Gabriela Aida Chapa"/>
        <s v="Aurora Amador Mendoza Prieto"/>
        <s v="Ing. Mitzy de la Rosa"/>
        <s v="German Crespo Leyva"/>
        <s v="Salma Andrés Montañez"/>
        <s v="Cynthia Oswaldo Olvera"/>
        <s v="Amador Íscar Orellana"/>
        <s v="Isabela Cortez"/>
        <s v="Sr(a). Magdalena Bustamante"/>
        <s v="Roberto Aleman Duarte"/>
        <s v="Mauricio Horacio Marín"/>
        <s v="Porfirio Lorenzo Cordero"/>
        <s v="Raquel Domínguez Vanegas"/>
        <s v="Paulina Peres Carmona"/>
        <s v="Agustín Montemayor Escobedo"/>
        <s v="Patricio Citlali Rico Jurado"/>
        <s v="Blanca Juan Carlos Sisneros"/>
        <s v="Sr(a). Monica Montañez"/>
        <s v="Ing. Nayeli del Valle"/>
        <s v="Carlota Helena Cepeda"/>
        <s v="Lic. Hugo Polanco"/>
        <s v="Lic. Ricardo Coronado"/>
        <s v="Israel Amaya"/>
        <s v="Paola Zarate"/>
        <s v="Hugo Orellana Aguilera"/>
        <s v="Claudio Anguiano Suarez"/>
        <s v="Caridad Frida Villarreal"/>
        <s v="Mariano Cruz"/>
        <s v="Nelly Vaca Santana"/>
        <s v="Luisa Eugenio Vasquez Aleman"/>
        <s v="Leonel Noelia Solís"/>
        <s v="Pascual Gracia Robles"/>
        <s v="Lorenzo Rafaél Morales Valles"/>
        <s v="Adan Prado"/>
        <s v="Caridad Ojeda"/>
        <s v="Elsa Alonso Almanza"/>
        <s v="Julia Baeza"/>
        <s v="Linda Tomas Cuellar"/>
        <s v="Lic. Vanesa Enríquez"/>
        <s v="Mario Gilberto Torrez"/>
        <s v="Clara Echeverría"/>
        <s v="Lorena Jacinto Limon"/>
        <s v="Asuncion Maximiliano Baca Ramírez"/>
        <s v="Evelio Pilar Urbina"/>
        <s v="Aida Marrero"/>
        <s v="Benjamín Alejandra Zapata Zamudio"/>
        <s v="Cristina Valentín Castillo"/>
        <s v="Yuridia Riojas Cotto"/>
        <s v="Hilda Corrales Ramon"/>
        <s v="Celia Cardona Griego"/>
        <s v="Elvira Marisol Reyes Alfaro"/>
        <s v="Miguel Romo"/>
        <s v="Cristian Mercedes Rubio Medrano"/>
        <s v="Dr. Fabiola Galindo"/>
        <s v="Susana Juarez"/>
        <s v="Jos Mariana Cano"/>
        <s v="Ana Luisa Araceli de la Crúz"/>
        <s v="Dr. Evelio Rosario"/>
        <s v="Sr(a). Genaro Paz"/>
        <s v="Francisco Javier Blanca Serrato"/>
        <s v="María Teresa Citlali Negrete"/>
        <s v="Eric Joaquín Navarrete"/>
        <s v="Adalberto Nayeli Villarreal Davila"/>
        <s v="Mtro. Josefina Miramontes"/>
        <s v="Gonzalo Rascon"/>
        <s v="Cristina Barbara de la Rosa"/>
        <s v="Ing. David Valencia"/>
        <s v="Amanda José Eduardo Rolon"/>
        <s v="Antonia Borrego"/>
        <s v="Pamela Magdalena Pantoja Sisneros"/>
        <s v="Jorge Luis María Calderon Valdivia"/>
        <s v="Leonel Cruz Enríquez"/>
        <s v="Dr. Alonso Lucero"/>
        <s v="Liliana Altamirano Solano"/>
        <s v="Alejandro Rodrigo Guillen Paredes"/>
        <s v="Inés Meza Campos"/>
        <s v="Mauricio José Luis Arroyo Mascareñas"/>
        <s v="Ofelia Suarez"/>
        <s v="Armando Ángela Juarez"/>
        <s v="Citlali Pantoja"/>
        <s v="Ing. Anabel Carreon"/>
        <s v="Íscar Cadena Valle"/>
        <s v="Samuel Esteban Caraballo Balderas"/>
        <s v="Ana María Pichardo Sepúlveda"/>
        <s v="Mayte Acevedo Viera"/>
        <s v="Trinidad Badillo"/>
        <s v="Yuridia Rubén Armendariz"/>
        <s v="Carolina Clara Cotto"/>
        <s v="Héctor José Luis Vaca"/>
        <s v="Ana Alvarado Zambrano"/>
        <s v="Jesús Burgos Ballesteros"/>
        <s v="Yolanda Joaquín Barela Méndez"/>
        <s v="Clemente Omar Olivo"/>
        <s v="Marisela Zeferino Adame Ureña"/>
        <s v="Liliana Verduzco"/>
        <s v="Dolores Pablo Menéndez"/>
        <s v="Héctor Luevano"/>
        <s v="Esteban José Emilio Polanco Valentín"/>
        <s v="Federico Alfaro"/>
        <s v="Indira Brito"/>
        <s v="Mtro. Abelardo Ríos"/>
        <s v="Íscar Ulloa Valdivia"/>
        <s v="Miguel Ángel Alberto Tamayo"/>
        <s v="Esmeralda Eugenia Ceja"/>
        <s v="Estela Alejandro Caballero"/>
        <s v="David Prado"/>
        <s v="Patricia Candelaria Ramon"/>
        <s v="Marcos Alba Becerra"/>
        <s v="Marisela Preciado"/>
        <s v="Lic. Lorenzo Zaragoza"/>
        <s v="Lic. Carmen Brito"/>
        <s v="Diego Nancy Madrid Cornejo"/>
        <s v="Conchita Calvillo Alba"/>
        <s v="Lic. Aurora Zamudio"/>
        <s v="Leonor Cristina Concepcion"/>
        <s v="Pamela Homero Arreola Godoy"/>
        <s v="Ruby Amador Quintero"/>
        <s v="Mauro Meléndez"/>
        <s v="Ing. Georgina Murillo"/>
        <s v="Alejandra Roldan"/>
        <s v="Pilar Luisa Bonilla Garrido"/>
        <s v="Bernabé Zaragoza"/>
        <s v="Armando Monica Reyna"/>
        <s v="Dr. José Manuél Candelaria"/>
        <s v="Estela Ivan Figueroa"/>
        <s v="María Luisa Cardenas Montemayor"/>
        <s v="Dr. José Eduardo Moreno"/>
        <s v="Mtro. Órsula Palacios"/>
        <s v="Nadia Canales Núñez"/>
        <s v="Dr. Estefanía Casas"/>
        <s v="Dr. Íliver de Leon"/>
        <s v="Dr. María Eugenia Valdivia"/>
        <s v="Eugenio Fernando Delgado"/>
        <s v="Modesto Rufino Mares Negron"/>
        <s v="Dr. Ariadna de Jesús"/>
        <s v="Jorge Luis Blanca Regalado Mora"/>
        <s v="Beatriz Virginia Duarte Flores"/>
        <s v="Lic. Jorge Alva"/>
        <s v="Zeferino Leon"/>
        <s v="María Teresa Ocasio Vera"/>
        <s v="Jesús Carreon"/>
        <s v="Ramiro Adriana Botello"/>
        <s v="Débora Alberto de Jesús Rodríguez"/>
        <s v="Dr. Aida Perales"/>
        <s v="Dalia Barrera"/>
        <s v="Sr(a). Diego Adame"/>
        <s v="Guillermina Otero"/>
        <s v="Ing. Wilfrido Carranza"/>
        <s v="Hilda Armando Padilla Castellanos"/>
        <s v="Sr(a). Socorro Jurado"/>
        <s v="Pedro Eric Parra Palacios"/>
        <s v="Gilberto Fajardo Esquivel"/>
        <s v="Oswaldo Magaña"/>
        <s v="Roberto María Cristina Madera Alejandro"/>
        <s v="María José Jacobo Perales Ortiz"/>
        <s v="Lic. Mateo Salazar"/>
        <s v="Olivia Cristobal Oquendo Nieves"/>
      </sharedItems>
    </cacheField>
    <cacheField name="Email" numFmtId="0">
      <sharedItems>
        <s v="qcovarrubias@hotmail.com"/>
        <s v="gaytansergio@navarro.info"/>
        <s v="maria-teresamanzanares@jaquez.com"/>
        <s v="pizarrojaqueline@acuna-moreno.com"/>
        <s v="yterrazas@hotmail.com"/>
        <s v="gvazquez@burgos.com"/>
        <s v="concepcion88@hotmail.com"/>
        <s v="rocioescalante@hotmail.com"/>
        <s v="dromero@industrias.info"/>
        <s v="emiliovillegas@diaz-ulibarri.net"/>
        <s v="maria-teresaibarra@yahoo.com"/>
        <s v="baezjonas@proyectos.org"/>
        <s v="guillerminacorral@yahoo.com"/>
        <s v="luisamata@barajas-de.org"/>
        <s v="benitezcarlota@yahoo.com"/>
        <s v="brivera@club.com"/>
        <s v="victor38@industrias.com"/>
        <s v="maria-elena87@proyectos.biz"/>
        <s v="nadame@hotmail.com"/>
        <s v="fmontalvo@gmail.com"/>
        <s v="marcos44@yahoo.com"/>
        <s v="julio50@hotmail.com"/>
        <s v="umadrigal@despacho.biz"/>
        <s v="cresporaquel@yahoo.com"/>
        <s v="kveliz@gmail.com"/>
        <s v="ilse56@tapia-zavala.com"/>
        <s v="marco-antoniorosado@grupo.org"/>
        <s v="antoniohernandez@gmail.com"/>
        <s v="maytecasares@yahoo.com"/>
        <s v="reyesespartaco@hotmail.com"/>
        <s v="tozuna@yahoo.com"/>
        <s v="francisco-javierzamudio@gmail.com"/>
        <s v="emontalvo@angulo.info"/>
        <s v="qcolon@laureano-solorzano.net"/>
        <s v="del-riojuan@velasco.com"/>
        <s v="ffuentes@ochoa-molina.com"/>
        <s v="bruno78@vega.org"/>
        <s v="estherpedroza@rojas-moya.info"/>
        <s v="porfirio68@corporacin.biz"/>
        <s v="sessa76@casarez.com"/>
        <s v="nicolas17@gmail.com"/>
        <s v="mauro20@urrutia.net"/>
        <s v="irobles@gmail.com"/>
        <s v="juana28@hotmail.com"/>
        <s v="arellanoalfredo@gmail.com"/>
        <s v="gabrieljaime@club.com"/>
        <s v="rosasgabriela@gmail.com"/>
        <s v="vicentezelaya@valdez.com"/>
        <s v="deborallamas@hotmail.com"/>
        <s v="fernando51@yahoo.com"/>
        <s v="miriam03@laboratorios.com"/>
        <s v="pulidoindira@industrias.org"/>
        <s v="virginiameraz@yahoo.com"/>
        <s v="leonardorosas@laboratorios.com"/>
        <s v="gdel-rio@proyectos.biz"/>
        <s v="bernabe37@despacho.com"/>
        <s v="granadosaraceli@proyectos.net"/>
        <s v="ursulamenchaca@hotmail.com"/>
        <s v="ana-luisa49@otero.org"/>
        <s v="jeronimovigil@hotmail.com"/>
        <s v="orascon@corporacin.com"/>
        <s v="dponce@verdugo.info"/>
        <s v="adriana27@hotmail.com"/>
        <s v="oswaldo20@proyectos.net"/>
        <s v="paolavergara@laboratorios.net"/>
        <s v="leonortoledo@solorzano.com"/>
        <s v="linda23@gmail.com"/>
        <s v="brunoflorez@hotmail.com"/>
        <s v="felipe81@espino.info"/>
        <s v="casarezminerva@yahoo.com"/>
        <s v="angel71@rincon-perea.com"/>
        <s v="cristobal02@frias-mojica.biz"/>
        <s v="magdalena44@industrias.com"/>
        <s v="onavarro@proyectos.com"/>
        <s v="uferrer@gmail.com"/>
        <s v="valmonte@gmail.com"/>
        <s v="alfredocastro@oquendo.com"/>
        <s v="abel08@laboratorios.com"/>
        <s v="raquelyanez@hotmail.com"/>
        <s v="javierraya@hotmail.com"/>
        <s v="yzedillo@despacho.org"/>
        <s v="villarebeca@gmail.com"/>
        <s v="de-la-torrelorenzo@yahoo.com"/>
        <s v="roqueelsa@gmail.com"/>
        <s v="vcontreras@yahoo.com"/>
        <s v="soniapaez@laboratorios.com"/>
        <s v="delgadogabino@hotmail.com"/>
        <s v="garaymarco-antonio@gmail.com"/>
        <s v="trevinoisaac@hotmail.com"/>
        <s v="salma61@gmail.com"/>
        <s v="pamela41@grupo.com"/>
        <s v="vallejogustavo@despacho.net"/>
        <s v="carlota45@yahoo.com"/>
        <s v="olverapamela@yahoo.com"/>
        <s v="rociopalomino@valenzuela.com"/>
        <s v="vmesa@valdes-suarez.com"/>
        <s v="ncastaneda@rico.com"/>
        <s v="correaestefania@yahoo.com"/>
        <s v="prietowendolin@abrego-mares.com"/>
        <s v="martincandelaria@hotmail.com"/>
        <s v="garenas@verduzco.org"/>
        <s v="timoteo70@hotmail.com"/>
        <s v="jeronimo36@proyectos.info"/>
        <s v="rosaliabatista@hurtado.com"/>
        <s v="cejaantonio@gmail.com"/>
        <s v="yenivaldes@quesada.com"/>
        <s v="uescalante@gmail.com"/>
        <s v="hugodel-rio@reyna.com"/>
        <s v="borregomitzy@hotmail.com"/>
        <s v="maximiliano11@garrido.com"/>
        <s v="citlaliramos@roque-velasco.biz"/>
        <s v="sramirez@yahoo.com"/>
        <s v="anel99@hotmail.com"/>
        <s v="francisca45@espinal.com"/>
        <s v="mauriciogarcia@gmail.com"/>
        <s v="enriqueaguirre@tamayo-roldan.com"/>
        <s v="fheredia@amador.biz"/>
        <s v="hborrego@hotmail.com"/>
        <s v="ivenegas@club.com"/>
        <s v="colladomercedes@yahoo.com"/>
        <s v="felicianoirene@gmail.com"/>
        <s v="jossolorzano@berrios.info"/>
        <s v="isabelmunguia@de.com"/>
        <s v="luisaquintanilla@regalado-tejeda.com"/>
        <s v="barrazaclaudia@hotmail.com"/>
        <s v="rodriguezluis@corporacin.com"/>
        <s v="franciscaarredondo@club.com"/>
        <s v="tcamarillo@gmail.com"/>
        <s v="isuarez@rodriguez.info"/>
        <s v="zmelgar@corporacin.com"/>
        <s v="zbarajas@industrias.com"/>
        <s v="cintronbernabe@grupo.biz"/>
        <s v="zedilloamador@yahoo.com"/>
        <s v="rosaliapizarro@narvaez.com"/>
        <s v="maganafabiola@hinojosa-meraz.com"/>
        <s v="ortaasuncion@laboratorios.org"/>
        <s v="octavio81@granados.biz"/>
        <s v="lucasirizarry@corporacin.com"/>
        <s v="cfajardo@ferrer-candelaria.net"/>
        <s v="benavidezgabino@hotmail.com"/>
        <s v="yeni97@hotmail.com"/>
        <s v="xsaenz@hotmail.com"/>
        <s v="irene40@bustos.info"/>
        <s v="marisoldominguez@yahoo.com"/>
        <s v="margarita66@hotmail.com"/>
        <s v="agamboa@corporacin.com"/>
        <s v="eugenia47@de.com"/>
        <s v="jose-manuelcazares@franco.org"/>
        <s v="fduran@arredondo.com"/>
        <s v="isaac34@aviles.biz"/>
        <s v="liliagonzalez@sanabria.info"/>
        <s v="renato62@gmail.com"/>
        <s v="juan-carlosporras@hotmail.com"/>
        <s v="indira48@gmail.com"/>
        <s v="mercedes40@lozano-borrego.org"/>
        <s v="merinovicente@hotmail.com"/>
        <s v="concepcion07@hotmail.com"/>
        <s v="floresleonor@salcido-barrientos.info"/>
        <s v="indira44@maya.biz"/>
        <s v="jose-emiliogamboa@laboratorios.biz"/>
        <s v="tiradoberta@yahoo.com"/>
        <s v="barbara76@hotmail.com"/>
        <s v="marisol14@maestas.com"/>
        <s v="mendezmonica@chacon.com"/>
        <s v="eugenio20@yahoo.com"/>
        <s v="franciscabonilla@yahoo.com"/>
        <s v="riveraleonardo@carrasco.com"/>
        <s v="dolores01@gmail.com"/>
        <s v="aurelio09@fuentes.com"/>
        <s v="cabanmauricio@partida-barrios.net"/>
        <s v="german49@yahoo.com"/>
        <s v="florenciaescamilla@industrias.com"/>
        <s v="ccintron@gmail.com"/>
        <s v="pradooctavio@yahoo.com"/>
        <s v="eveliz@verdugo-covarrubias.com"/>
        <s v="camilapuente@hotmail.com"/>
        <s v="martha43@gmail.com"/>
        <s v="rolando62@hotmail.com"/>
        <s v="teresa90@yahoo.com"/>
        <s v="galvancamilo@santana-farias.com"/>
        <s v="navajose-eduardo@peralta.org"/>
        <s v="karinajaimes@grupo.net"/>
        <s v="cornelio15@grupo.com"/>
        <s v="eloy50@despacho.com"/>
        <s v="xespinosa@maestas-zambrano.org"/>
        <s v="guzmanalfonso@molina.com"/>
        <s v="casanovahugo@yahoo.com"/>
        <s v="veronicagaona@yahoo.com"/>
        <s v="galindoabelardo@hotmail.com"/>
        <s v="yolandamontalvo@gmail.com"/>
        <s v="gzelaya@gmail.com"/>
        <s v="cesar12@hotmail.com"/>
        <s v="camilareyes@yahoo.com"/>
        <s v="gaonagabriel@proyectos.org"/>
        <s v="rduarte@hotmail.com"/>
        <s v="natividad96@toro.biz"/>
        <s v="anabelgalarza@gmail.com"/>
        <s v="mejiaricardo@yahoo.com"/>
        <s v="umata@despacho.com"/>
        <s v="gilalta-gracia@miramontes.com"/>
        <s v="acovarrubias@yahoo.com"/>
        <s v="maria-eugenia48@industrias.com"/>
        <s v="benjaminguerra@yahoo.com"/>
        <s v="ninovictor@gmail.com"/>
        <s v="eric39@gmail.com"/>
        <s v="whuerta@cornejo.com"/>
        <s v="merazoliver@yahoo.com"/>
        <s v="bacaelvia@gmail.com"/>
        <s v="francisco-javier56@gmail.com"/>
        <s v="daliavillagomez@gmail.com"/>
        <s v="daniela26@hotmail.com"/>
        <s v="eesquibel@campos.info"/>
        <s v="claudia30@hotmail.com"/>
        <s v="vparra@gmail.com"/>
        <s v="wmontoya@yahoo.com"/>
        <s v="yeni63@gmail.com"/>
        <s v="xramirez@laboratorios.com"/>
        <s v="arico@almaraz-ontiveros.com"/>
        <s v="dvillegas@despacho.com"/>
        <s v="santacruzanel@hotmail.com"/>
        <s v="blancaromero@armenta-murillo.com"/>
        <s v="eugenio94@yahoo.com"/>
        <s v="isabela60@hotmail.com"/>
        <s v="bfajardo@suarez.info"/>
        <s v="maria-eugeniairizarry@gmail.com"/>
        <s v="salma27@nieto-herrera.com"/>
        <s v="ignaciochacon@gmail.com"/>
        <s v="cervanteshermelinda@godinez.net"/>
        <s v="oscar45@tovar.info"/>
        <s v="pazrocio@gmail.com"/>
        <s v="rodolfolucio@gmail.com"/>
        <s v="zguardado@grupo.biz"/>
        <s v="ulucero@gmail.com"/>
        <s v="rubencanales@hotmail.com"/>
        <s v="elvirasepulveda@corporacin.com"/>
        <s v="sernaemilia@yahoo.com"/>
        <s v="ernesto07@gmail.com"/>
        <s v="silvano66@proyectos.com"/>
        <s v="saavedrafelipe@yahoo.com"/>
        <s v="gfranco@grupo.com"/>
        <s v="quirozjose-maria@valdivia.biz"/>
        <s v="rivascristian@grupo.com"/>
        <s v="catalina33@yahoo.com"/>
        <s v="qsolorzano@despacho.com"/>
        <s v="xalva@cazares-santillan.biz"/>
        <s v="carmen91@gonzales.org"/>
        <s v="reynadulce-maria@hotmail.com"/>
        <s v="jtovar@trujillo-orellana.com"/>
        <s v="mireleshector@vigil.com"/>
        <s v="lsalas@grupo.org"/>
        <s v="casaresramon@hotmail.com"/>
        <s v="israel13@aviles.biz"/>
        <s v="carolinaoquendo@industrias.net"/>
        <s v="tvalle@guzman.org"/>
        <s v="jose-eduardo21@yahoo.com"/>
        <s v="gracielasosa@gmail.com"/>
        <s v="wvega@yahoo.com"/>
        <s v="zoe99@ornelas.com"/>
        <s v="darenas@corporacin.org"/>
        <s v="griegomonica@yahoo.com"/>
        <s v="ynavarro@gmail.com"/>
        <s v="francisco-javiersalcedo@hotmail.com"/>
        <s v="verduzcohilda@merino.biz"/>
        <s v="leonorbermudez@nieves.info"/>
        <s v="patricia75@corporacin.com"/>
        <s v="hocampo@corporacin.net"/>
        <s v="cabreraleonel@yahoo.com"/>
        <s v="julio-cesarrazo@hotmail.com"/>
        <s v="yolanda26@montemayor.biz"/>
        <s v="jose-emiliovillanueva@hotmail.com"/>
        <s v="kmurillo@proyectos.net"/>
        <s v="andresquinonez@yahoo.com"/>
        <s v="rebeca22@yahoo.com"/>
        <s v="saucedaconcepcion@hotmail.com"/>
        <s v="tmontoya@gmail.com"/>
        <s v="anel88@lugo.com"/>
        <s v="pelayojaqueline@hotmail.com"/>
        <s v="olivertejada@hotmail.com"/>
        <s v="jaquezesteban@gmail.com"/>
        <s v="itapia@despacho.com"/>
        <s v="auroralugo@acuna-mercado.com"/>
        <s v="benito43@corporacin.com"/>
        <s v="eduardo20@club.org"/>
        <s v="de-la-fuentemanuel@yahoo.com"/>
        <s v="wnevarez@perea.com"/>
        <s v="jaime62@industrias.com"/>
        <s v="ramon28@gmail.com"/>
        <s v="jose-luis02@hotmail.com"/>
        <s v="lbarajas@alva-montalvo.com"/>
        <s v="vnavarro@gmail.com"/>
        <s v="forosco@mesa.biz"/>
        <s v="pcruz@zelaya.com"/>
        <s v="gamezjonas@estevez.org"/>
        <s v="avalosjosefina@gmail.com"/>
        <s v="ballesterosevelio@yahoo.com"/>
        <s v="urielojeda@fierro-cordero.com"/>
        <s v="xnino@yahoo.com"/>
        <s v="amaliaespino@mota-bernal.info"/>
        <s v="luis-manuelperes@club.info"/>
        <s v="anaranjo@despacho.com"/>
        <s v="ilebron@yahoo.com"/>
        <s v="lpacheco@yahoo.com"/>
        <s v="gcotto@alcala-espinoza.com"/>
        <s v="teresaaguirre@despacho.com"/>
        <s v="nazarioandrea@hotmail.com"/>
        <s v="cornelio81@hotmail.com"/>
        <s v="ehernandez@nieto.com"/>
        <s v="celia37@guardado.com"/>
        <s v="estebanespinal@hotmail.com"/>
        <s v="cristinaarguello@del.info"/>
        <s v="gregoriocervantes@hotmail.com"/>
        <s v="mariana08@jurado.org"/>
        <s v="carolina73@gmail.com"/>
        <s v="santillancamila@hotmail.com"/>
        <s v="mariasevilla@caldera-valdivia.com"/>
        <s v="pserrano@gmail.com"/>
        <s v="renedominguez@osorio.com"/>
        <s v="nayelipedroza@samaniego.com"/>
        <s v="henriquezjose-maria@gurule.net"/>
        <s v="jcintron@hotmail.com"/>
        <s v="eloyarroyo@yahoo.com"/>
        <s v="ssosa@hotmail.com"/>
        <s v="luisromo@grupo.org"/>
        <s v="josefinacarrero@zavala.com"/>
        <s v="lorena10@gmail.com"/>
        <s v="zamudiooswaldo@rosales.com"/>
        <s v="gdel-valle@covarrubias-marquez.com"/>
        <s v="gabinopolanco@gmail.com"/>
        <s v="aholguin@industrias.com"/>
        <s v="malaveleonor@hotmail.com"/>
        <s v="guadalupe65@cervantez.info"/>
        <s v="yfarias@industrias.com"/>
        <s v="wadame@yahoo.com"/>
        <s v="socorrodel-valle@gmail.com"/>
        <s v="helenanaranjo@roybal.org"/>
        <s v="cortestrinidad@hotmail.com"/>
        <s v="lucas66@hotmail.com"/>
        <s v="qrosado@hotmail.com"/>
        <s v="veronicalongoria@hotmail.com"/>
        <s v="gcalvillo@gmail.com"/>
        <s v="gregoriopuente@laboratorios.info"/>
        <s v="jorgecervantes@yahoo.com"/>
        <s v="prietojorge@hotmail.com"/>
        <s v="valenzuelarodolfo@yahoo.com"/>
        <s v="olveraalvaro@hotmail.com"/>
        <s v="ncardenas@hotmail.com"/>
        <s v="ovillalpando@hotmail.com"/>
        <s v="hernadezalvaro@gmail.com"/>
        <s v="florencia21@grupo.com"/>
        <s v="cristianbrito@gmail.com"/>
        <s v="vcarreon@industrias.net"/>
        <s v="emateo@colunga.com"/>
        <s v="jaquezpatricia@hotmail.com"/>
        <s v="asuncionespino@gmail.com"/>
        <s v="cruzhoracio@yahoo.com"/>
        <s v="rosarioalmaraz@gmail.com"/>
        <s v="cabreraabelardo@gmail.com"/>
        <s v="barriosconchita@industrias.com"/>
        <s v="nbarraza@yahoo.com"/>
        <s v="ujasso@abreu-crespo.info"/>
        <s v="elvira02@hotmail.com"/>
        <s v="rsosa@laboratorios.com"/>
        <s v="luis-miguelsantacruz@yahoo.com"/>
        <s v="leonelponce@hotmail.com"/>
        <s v="emilianovillanueva@grupo.org"/>
        <s v="olivia24@yahoo.com"/>
        <s v="albertourena@yahoo.com"/>
        <s v="ilongoria@gmail.com"/>
        <s v="raquelzamudio@corporacin.org"/>
        <s v="psolorzano@proyectos.org"/>
        <s v="indiracarrasco@gmail.com"/>
        <s v="bbenavides@grupo.biz"/>
        <s v="federico70@velasco.biz"/>
        <s v="bpacheco@hotmail.com"/>
        <s v="ana-marialomeli@santana.net"/>
        <s v="geronimoalmonte@hotmail.com"/>
        <s v="abrillemus@hotmail.com"/>
        <s v="isaac33@gmail.com"/>
        <s v="hernan45@yahoo.com"/>
        <s v="ireneberrios@torres.biz"/>
        <s v="alejandra48@yahoo.com"/>
        <s v="rodrigo57@centeno-meza.org"/>
        <s v="israel06@industrias.net"/>
        <s v="juanaceja@corporacin.org"/>
        <s v="mayteramon@gmail.com"/>
        <s v="oquendoyeni@gmail.com"/>
        <s v="mballesteros@escamilla-aguayo.info"/>
        <s v="nzapata@yahoo.com"/>
        <s v="sevillaemiliano@yahoo.com"/>
        <s v="overa@hotmail.com"/>
        <s v="jassomarco-antonio@gmail.com"/>
        <s v="darioquintero@grupo.biz"/>
        <s v="micaela56@corporacin.com"/>
        <s v="jaquelineontiveros@grupo.com"/>
        <s v="oliviacarmona@magana.net"/>
        <s v="rmireles@hotmail.com"/>
        <s v="riverocynthia@laboratorios.org"/>
        <s v="pvaca@padilla-calderon.com"/>
        <s v="pilarpena@gmail.com"/>
        <s v="rene11@carrillo.com"/>
        <s v="brunoferrer@hotmail.com"/>
        <s v="jorge11@yahoo.com"/>
        <s v="maytezamudio@hotmail.com"/>
        <s v="jacinto56@laboratorios.biz"/>
        <s v="catalina70@gmail.com"/>
        <s v="eugeniobravo@gmail.com"/>
        <s v="bruno96@hotmail.com"/>
        <s v="bfajardo@gmail.com"/>
        <s v="uriasbernabe@perez-saldivar.com"/>
        <s v="acevedobruno@gmail.com"/>
        <s v="bustossandra@gmail.com"/>
        <s v="monteroraul@yahoo.com"/>
        <s v="sramos@hotmail.com"/>
        <s v="qvilla@gmail.com"/>
        <s v="felixramon@gmail.com"/>
        <s v="ypichardo@hotmail.com"/>
        <s v="maria-cristinamatos@hotmail.com"/>
        <s v="jorge49@gmail.com"/>
        <s v="soledad84@yahoo.com"/>
        <s v="de-la-fuentereina@gmail.com"/>
        <s v="qde-la-garza@alejandro.info"/>
        <s v="toledojacobo@olivo.biz"/>
        <s v="jose-luisanaya@olivo-villa.com"/>
        <s v="emiliaesparza@santacruz.org"/>
        <s v="almonteadriana@chapa-grijalva.biz"/>
        <s v="abelurrutia@grupo.com"/>
        <s v="amayajavier@gmail.com"/>
        <s v="jacoboalcantar@bahena.info"/>
        <s v="mateocastro@club.com"/>
        <s v="agustin99@hotmail.com"/>
        <s v="linda75@hotmail.com"/>
        <s v="bernardo49@gmail.com"/>
        <s v="marisoltijerina@gmail.com"/>
        <s v="eloisaaragon@candelaria.org"/>
        <s v="laboyleonor@yahoo.com"/>
        <s v="dblanco@club.com"/>
        <s v="indira82@miramontes-menendez.biz"/>
        <s v="emiliano86@gmail.com"/>
        <s v="escobedoilse@proyectos.biz"/>
        <s v="vmadrigal@bravo.com"/>
        <s v="florencia21@hotmail.com"/>
        <s v="seguralinda@gmail.com"/>
        <s v="isabel20@macias.org"/>
        <s v="lomelivictoria@alvarez-olivo.org"/>
        <s v="ursulaespinoza@de.info"/>
        <s v="clozada@vela.biz"/>
        <s v="sara48@gmail.com"/>
        <s v="martin48@farias-huerta.com"/>
        <s v="bernaberenteria@hotmail.com"/>
        <s v="ojaimes@yahoo.com"/>
        <s v="sierravictoria@yahoo.com"/>
        <s v="verdugooswaldo@industrias.org"/>
        <s v="bravodiego@zayas.info"/>
        <s v="eduardo52@grupo.info"/>
        <s v="liliana23@despacho.com"/>
        <s v="villarealana-luisa@aviles.org"/>
        <s v="peresguadalupe@laboratorios.info"/>
        <s v="leticiajurado@yahoo.com"/>
        <s v="de-la-cruzisabel@grupo.com"/>
        <s v="karlavillegas@urias.com"/>
        <s v="vdavila@gmail.com"/>
        <s v="esparta94@gmail.com"/>
        <s v="ujasso@olivares.com"/>
        <s v="feliperolon@hotmail.com"/>
        <s v="jaimerenteria@despacho.com"/>
        <s v="noemirivera@hotmail.com"/>
        <s v="navarretenelly@yahoo.com"/>
        <s v="carvajalesmeralda@gmail.com"/>
        <s v="ocasiofrancisco-javier@yahoo.com"/>
        <s v="pde-jesus@yahoo.com"/>
        <s v="zoeguevara@hotmail.com"/>
        <s v="rvillanueva@gmail.com"/>
        <s v="marco-antonioverduzco@yahoo.com"/>
        <s v="etoledo@gmail.com"/>
        <s v="estefania56@marrero.com"/>
        <s v="reynaldogaribay@hotmail.com"/>
        <s v="igalvez@teran-pizarro.net"/>
        <s v="gonzalocarrero@proyectos.com"/>
        <s v="uarroyo@manzanares.biz"/>
        <s v="esparta21@yahoo.com"/>
        <s v="abril49@yahoo.com"/>
        <s v="cornejocornelio@despacho.org"/>
        <s v="salvador03@gmail.com"/>
        <s v="elvira67@grijalva.com"/>
        <s v="malaveluz@yahoo.com"/>
        <s v="del-vallenatividad@zuniga-carrasco.com"/>
        <s v="maria-teresa56@valle.com"/>
        <s v="indiraarroyo@gmail.com"/>
        <s v="vcervantez@matos-villagomez.biz"/>
        <s v="jose-manuel14@madera-arenas.com"/>
        <s v="oliviamaestas@club.biz"/>
        <s v="beatriz73@yahoo.com"/>
        <s v="julio55@yahoo.com"/>
        <s v="rosalia18@gmail.com"/>
        <s v="del-vallejorge@paz.biz"/>
        <s v="de-andavicente@robles.com"/>
        <s v="maderaoliver@yahoo.com"/>
        <s v="armando09@gmail.com"/>
        <s v="antoniabarela@despacho.net"/>
        <s v="ymayorga@gmail.com"/>
        <s v="wulloa@industrias.com"/>
        <s v="nunezmanuel@yahoo.com"/>
        <s v="ltapia@hotmail.com"/>
        <s v="ibarraza@hotmail.com"/>
        <s v="felipede-la-rosa@arredondo-hinojosa.net"/>
        <s v="reinasegovia@hotmail.com"/>
        <s v="noriegasara@uribe.com"/>
        <s v="halfaro@despacho.com"/>
        <s v="cardonapascual@industrias.info"/>
        <s v="juliavergara@barraza.info"/>
        <s v="razoraul@yahoo.com"/>
        <s v="jmacias@salazar.com"/>
        <s v="hector75@despacho.org"/>
        <s v="quirozcristina@hotmail.com"/>
        <s v="adelafierro@resendez.com"/>
        <s v="socorrocolunga@rosales-caraballo.com"/>
        <s v="melgarbenjamin@laboratorios.com"/>
        <s v="acabrera@yahoo.com"/>
        <s v="grobledo@gmail.com"/>
        <s v="qguajardo@gmail.com"/>
        <s v="epaez@yahoo.com"/>
        <s v="humberto17@tapia.com"/>
        <s v="amadorgarza@yahoo.com"/>
        <s v="salvadorsuarez@gmail.com"/>
        <s v="silviafrias@hotmail.com"/>
        <s v="lilianaamaya@rangel.com"/>
        <s v="montanoreina@navarrete-botello.net"/>
        <s v="ivonnearmendariz@club.com"/>
        <s v="asuncionquintero@hotmail.com"/>
        <s v="dpolanco@industrias.com"/>
        <s v="flavio50@proyectos.com"/>
        <s v="lhidalgo@yahoo.com"/>
        <s v="yalba@corporacin.com"/>
        <s v="omarin@grupo.info"/>
        <s v="canalesgraciela@merino.net"/>
        <s v="calderontania@hotmail.com"/>
        <s v="ycabrera@yahoo.com"/>
        <s v="marisoldiaz@gmail.com"/>
        <s v="susanarodrigez@granado-mora.com"/>
        <s v="juan-carlos48@del.info"/>
        <s v="esteban25@hotmail.com"/>
        <s v="elena24@despacho.info"/>
        <s v="flaviorivera@gmail.com"/>
        <s v="oscararmas@grupo.com"/>
        <s v="fidelvazquez@estrada.info"/>
        <s v="enriquevarela@yahoo.com"/>
        <s v="fridalopez@mena.com"/>
        <s v="hugocedillo@gmail.com"/>
        <s v="mercadohilda@gmail.com"/>
        <s v="egalindo@gmail.com"/>
        <s v="ninosilvano@montano-rodriquez.com"/>
        <s v="jhernadez@yahoo.com"/>
        <s v="sarabiakarla@gmail.com"/>
        <s v="de-jesusnatividad@santana.com"/>
        <s v="karinacarrera@mascarenas.info"/>
        <s v="montezmicaela@laboratorios.org"/>
        <s v="carlotacastro@yahoo.com"/>
        <s v="jrobledo@proyectos.org"/>
        <s v="aguilarespartaco@luevano.com"/>
        <s v="carranzamaria-jose@yahoo.com"/>
        <s v="trujillosantiago@club.com"/>
        <s v="alfredosamaniego@grupo.info"/>
        <s v="cejamarisol@proyectos.com"/>
        <s v="amadorzoe@proyectos.info"/>
        <s v="ysaldivar@perales.com"/>
        <s v="fjasso@hotmail.com"/>
        <s v="esthersantacruz@gmail.com"/>
        <s v="warellano@hotmail.com"/>
        <s v="karla73@yahoo.com"/>
        <s v="elviraalva@sandoval.net"/>
        <s v="lgracia@corporacin.com"/>
        <s v="bde-la-torre@hotmail.com"/>
        <s v="pedrobaeza@caban.com"/>
        <s v="reynaldo69@gmail.com"/>
        <s v="sperales@hotmail.com"/>
        <s v="wde-la-rosa@club.com"/>
        <s v="laura43@yahoo.com"/>
        <s v="norma09@hotmail.com"/>
        <s v="alicia10@yahoo.com"/>
        <s v="zramos@bahena-maya.info"/>
        <s v="fserrano@vela.com"/>
        <s v="patinoadan@sanchez.biz"/>
        <s v="qcastellanos@partida-valles.com"/>
        <s v="maria-luisacaraballo@garcia-betancourt.com"/>
        <s v="rgomez@gmail.com"/>
        <s v="kescamilla@garza-olivares.com"/>
        <s v="valverdeadalberto@bernal-arellano.com"/>
        <s v="flaviorosado@yahoo.com"/>
        <s v="rzavala@yahoo.com"/>
        <s v="avera@yahoo.com"/>
        <s v="ballesterosvioleta@gallardo-jiminez.biz"/>
        <s v="nietohilda@yahoo.com"/>
        <s v="mariafernandez@gmail.com"/>
        <s v="esthervillalobos@covarrubias-montalvo.net"/>
        <s v="graya@quintero.com"/>
        <s v="silvano60@velasco.com"/>
        <s v="ycolon@gmail.com"/>
        <s v="margarita69@grupo.net"/>
        <s v="larajesus@industrias.com"/>
        <s v="pamela15@yahoo.com"/>
        <s v="anel13@yahoo.com"/>
        <s v="carbajaldulce-maria@club.info"/>
        <s v="rojohector@gmail.com"/>
        <s v="aalmaraz@yahoo.com"/>
        <s v="jose-eduardo38@hotmail.com"/>
        <s v="gabriela38@gmail.com"/>
        <s v="lopezdiana@gmail.com"/>
        <s v="pugasilvano@gmail.com"/>
        <s v="victor71@hotmail.com"/>
        <s v="granadobernabe@yahoo.com"/>
        <s v="mojicajudith@sauceda-mendez.com"/>
        <s v="pvalencia@marin.com"/>
        <s v="ariadna06@espino.org"/>
        <s v="znegron@hotmail.com"/>
        <s v="esquibellucas@gmail.com"/>
        <s v="bermudezleonor@reynoso.net"/>
        <s v="aldoescamilla@grupo.com"/>
        <s v="opaz@proyectos.net"/>
        <s v="oliverrenteria@rael-medrano.org"/>
        <s v="marisolamador@gmail.com"/>
        <s v="luztejeda@carrion.biz"/>
        <s v="cintronmanuel@gmail.com"/>
        <s v="homero86@segura.com"/>
        <s v="velasquezandres@laboratorios.com"/>
        <s v="lermaespartaco@yahoo.com"/>
        <s v="xcamacho@gmail.com"/>
        <s v="fviera@farias.info"/>
        <s v="teodorogarrido@barragan.biz"/>
        <s v="zoe02@yahoo.com"/>
        <s v="mesaursula@barragan-chapa.com"/>
        <s v="xlozano@godoy.com"/>
        <s v="felix81@madrid-samaniego.com"/>
        <s v="leticiaduarte@yahoo.com"/>
        <s v="guerrahernan@hotmail.com"/>
        <s v="kponce@yahoo.com"/>
        <s v="zeferinomadera@ramos.org"/>
        <s v="jluevano@grupo.org"/>
        <s v="rtejeda@pelayo.net"/>
        <s v="amayalucas@roque.biz"/>
        <s v="cgallegos@vaca-bahena.net"/>
        <s v="juana18@yahoo.com"/>
        <s v="bgranado@mata.biz"/>
        <s v="npedraza@hotmail.com"/>
        <s v="nvaladez@yahoo.com"/>
        <s v="aldomarrero@hotmail.com"/>
        <s v="luiscastellanos@club.com"/>
        <s v="carlotaacevedo@benavidez.com"/>
        <s v="barbara15@laboratorios.info"/>
        <s v="armando76@grupo.net"/>
        <s v="asuncion98@yahoo.com"/>
        <s v="marthabaez@gmail.com"/>
        <s v="oraya@laboratorios.com"/>
        <s v="jimenezirma@vega-mena.com"/>
        <s v="xreyna@yahoo.com"/>
        <s v="esmeraldadavila@laureano.net"/>
        <s v="montanezluis-miguel@industrias.com"/>
        <s v="nayeli04@villagomez-salcido.com"/>
        <s v="emiliano90@zayas-valentin.com"/>
        <s v="raulbarela@barrera-najera.org"/>
        <s v="veronicaalarcon@gmail.com"/>
        <s v="hilda61@grupo.info"/>
        <s v="jaramilloanabel@gmail.com"/>
        <s v="wmolina@yahoo.com"/>
        <s v="ochoaasuncion@gmail.com"/>
        <s v="bcotto@hotmail.com"/>
        <s v="vanesa92@gmail.com"/>
        <s v="arceliagracia@ramos-carrillo.com"/>
        <s v="marmas@gmail.com"/>
        <s v="villegasalejandra@gmail.com"/>
        <s v="caraballosocorro@grupo.com"/>
        <s v="mitzynevarez@barrientos-roque.com"/>
        <s v="mariano56@gmail.com"/>
        <s v="cristalfernandez@avalos-puga.org"/>
        <s v="mauricio18@preciado-acuna.com"/>
        <s v="marco-antonio11@proyectos.org"/>
        <s v="raulzayas@gmail.com"/>
        <s v="moraclara@hotmail.com"/>
        <s v="corneliohidalgo@hotmail.com"/>
        <s v="eugeniocano@yahoo.com"/>
        <s v="partidaisrael@ramon.info"/>
        <s v="umayorga@yahoo.com"/>
        <s v="coronadomodesto@hotmail.com"/>
        <s v="claudia24@industrias.com"/>
        <s v="tamezjacinto@bravo.info"/>
        <s v="ignaciocandelaria@merino.com"/>
        <s v="ppineda@hotmail.com"/>
        <s v="yeni67@hotmail.com"/>
        <s v="amandabarela@gmail.com"/>
        <s v="corralrolando@yahoo.com"/>
        <s v="cintronjose-emilio@rascon-najera.com"/>
        <s v="yamaya@yahoo.com"/>
        <s v="beatriz85@almanza-carrera.com"/>
        <s v="sergio69@laboratorios.com"/>
        <s v="ariastrinidad@despacho.com"/>
        <s v="dmedina@gmail.com"/>
        <s v="galfaro@yahoo.com"/>
        <s v="jaquelinecaban@muniz.info"/>
        <s v="alvaro06@yahoo.com"/>
        <s v="mitzy72@gmail.com"/>
        <s v="hruelas@gmail.com"/>
        <s v="olivia25@proyectos.com"/>
        <s v="fgamboa@yahoo.com"/>
        <s v="maria-del-carmen56@alonzo.com"/>
        <s v="emiliano63@gmail.com"/>
        <s v="roblesmanuel@gmail.com"/>
        <s v="zarguello@yahoo.com"/>
        <s v="estefania59@club.com"/>
        <s v="velafabiola@hotmail.com"/>
        <s v="sara71@lucero.com"/>
        <s v="alta-gracia96@club.info"/>
        <s v="murocynthia@club.info"/>
        <s v="carolina12@valdes.com"/>
        <s v="marianodelgadillo@proyectos.com"/>
        <s v="patricia66@hotmail.com"/>
        <s v="angel23@yahoo.com"/>
        <s v="almafajardo@proyectos.com"/>
        <s v="silviapabon@corporacin.com"/>
        <s v="htorrez@despacho.com"/>
        <s v="bravofrancisco@gmail.com"/>
        <s v="gabriel22@pineda-villarreal.info"/>
        <s v="maria-del-carmenramos@hotmail.com"/>
        <s v="rgarza@castellanos-cedillo.net"/>
        <s v="pbarrera@gmail.com"/>
        <s v="violetaorta@hotmail.com"/>
        <s v="miriam44@bravo.com"/>
        <s v="madridolga@yahoo.com"/>
        <s v="del-vallegabino@cornejo-valles.info"/>
        <s v="dvaladez@saldivar.biz"/>
        <s v="zcamarillo@yahoo.com"/>
        <s v="maytetovar@hotmail.com"/>
        <s v="monica51@gmail.com"/>
        <s v="horaciourrutia@saucedo.com"/>
        <s v="lmaldonado@yahoo.com"/>
        <s v="felipe48@proyectos.com"/>
        <s v="trujilloalonso@gmail.com"/>
        <s v="alvavioleta@grupo.com"/>
        <s v="victorialeal@hotmail.com"/>
        <s v="wgarica@industrias.info"/>
        <s v="josefinabueno@despacho.com"/>
        <s v="abrilbadillo@hotmail.com"/>
        <s v="ymendez@yahoo.com"/>
        <s v="hestevez@yahoo.com"/>
        <s v="esmeraldaguajardo@yahoo.com"/>
        <s v="sevillamicaela@villarreal.com"/>
        <s v="zmejia@club.com"/>
        <s v="sepulvedacarlos@amaya-ortega.com"/>
        <s v="barrazacornelio@yahoo.com"/>
        <s v="tvaldivia@alarcon.info"/>
        <s v="najerazeferino@hotmail.com"/>
        <s v="teodoro56@yahoo.com"/>
        <s v="oliver93@hotmail.com"/>
        <s v="aurora38@hotmail.com"/>
        <s v="vquesada@grupo.com"/>
      </sharedItems>
    </cacheField>
    <cacheField name="ID de orden" numFmtId="0">
      <sharedItems>
        <s v="53a9e98d-d57a-488e-bcec-701bc4e1ec3e"/>
        <s v="10c739f0-f7fb-4c8e-a239-ed1f5c295465"/>
        <s v="d7c9e19e-1228-4326-8b2a-cde42e222a67"/>
        <s v="91de2837-a873-4607-8185-7fa6844d2be8"/>
        <s v="4cfd7c38-6607-4b36-ab60-fb259d4e18b4"/>
        <s v="a4da2665-dfb9-46f3-b658-cc5d0505dd86"/>
        <s v="8d23f99e-11a9-4194-979d-e2f334eec6fa"/>
        <s v="a895a20b-523d-4f9e-a3e5-039259362c4f"/>
        <s v="14722e2a-7971-43ee-ac45-587157e6f198"/>
        <s v="7424e9fb-eb47-4eb6-b0ee-330eb470b214"/>
        <s v="a4b8a935-59ba-43d2-9d68-660ee91a5acd"/>
        <s v="9c8710a3-d9ef-4a00-9c0b-7c93d5fb8f63"/>
        <s v="eb72415a-2fdb-436d-a740-aa38fe92dba8"/>
        <s v="a9fee7b5-3729-4db8-815f-355ff6236823"/>
        <s v="1d366307-d6bd-4e44-b202-bab1ce141dbd"/>
        <s v="a076e80e-95f4-4b8d-8e0e-af032fd3e7e3"/>
        <s v="55a4140a-ad3c-4b67-9d33-7eb275fe9440"/>
        <s v="af1640cb-8d21-4be4-a497-cf19ebe3fa3e"/>
        <s v="7c7c5e94-04af-466b-bbd2-9ba60b16b6cc"/>
        <s v="fd56654c-43c9-4016-8183-cbdf6b382ba6"/>
        <s v="b510688e-fa24-4654-b955-0b6adeee039e"/>
        <s v="99bc21fb-dcd1-48e4-be06-9bd0b762b73e"/>
        <s v="38daf333-0f89-435f-9b2d-a6d639ff33df"/>
        <s v="cc9f2851-c332-405f-a3fb-1abae821a706"/>
        <s v="7ac1b8fd-c88f-4033-9061-4a7613449273"/>
        <s v="a1cb1e10-0e31-479a-b8bb-5dc909b32b66"/>
        <s v="3786d3a2-e035-4239-845a-3dce8eca0b61"/>
        <s v="06092c99-a04c-49aa-b1e2-81711e255109"/>
        <s v="428f89ef-5eb4-469e-b29a-14fcef36e9d3"/>
        <s v="c08f9ba9-0e32-4277-937a-eae40b912ab0"/>
        <s v="e8070b1a-de24-4296-b9ca-c4d62784eb47"/>
        <s v="19a6e9f7-0a45-4879-ab17-df6979e1e612"/>
        <s v="e1d56019-1e10-4a1a-9dff-bff7048987d6"/>
        <s v="a1278508-c2d2-4e1a-9ab3-cd5dcc25c9cf"/>
        <s v="afc92f17-61fe-4e4e-84c2-09515ccc8e07"/>
        <s v="116022d7-56fc-4596-aeba-30c58ab21dbf"/>
        <s v="c196a64f-ac47-4c79-b416-d0807432cfa3"/>
        <s v="2ad918fa-d68e-42ea-926c-414454fd8220"/>
        <s v="9fc06fba-9376-4e96-97f1-0aeca2f00a87"/>
        <s v="d1068262-a372-42f4-b5e9-48fa9a84b933"/>
        <s v="5c299656-4419-4c69-bdd2-2dc9b8af337b"/>
        <s v="581770ae-84a5-4fc3-ba77-826c11cb3e70"/>
        <s v="bb32f0ba-b764-401c-a691-3d59b0136679"/>
        <s v="538c9408-8b8b-4785-b9f9-cd2657097173"/>
        <s v="4e9e641c-a0d6-4903-8f6e-f87d90c24aa0"/>
        <s v="e98e23f8-e415-4062-bdbb-4e90ecd252c4"/>
        <s v="88268205-0f39-4e9a-9353-1a9ee68c009c"/>
        <s v="426433ea-0410-4d24-b435-247c7b633415"/>
        <s v="dca19bf4-3f5f-484c-bfdb-75c9ded28858"/>
        <s v="7594ffab-c88c-40b4-b851-6897e6230fb0"/>
        <s v="306238f0-70d8-49c3-bc3f-5c9df03698bf"/>
        <s v="13857721-e31a-444e-a2c2-774566eb5f26"/>
        <s v="a2d32009-f750-4260-8311-8300bd425ff8"/>
        <s v="fad038ce-1b32-4c25-85bc-38c2262677ee"/>
        <s v="4a70ae74-59ef-4f8f-98ee-d8fff858e22d"/>
        <s v="9ffc235a-1e2b-44c3-80ec-61b7a7d4cbc5"/>
        <s v="890c4fe3-a2aa-473b-a2ff-9c2704d3ac14"/>
        <s v="7413d048-5e1b-4043-9969-89781ce744b0"/>
        <s v="40b3bbac-c623-4647-a606-b5af9a39c69f"/>
        <s v="af87cfff-afb0-4f85-888d-e5db29ae4766"/>
        <s v="f0548b33-86eb-4b3f-a1f4-cef9f9f11955"/>
        <s v="972dd545-20a8-49a2-be8a-93f570eba58b"/>
        <s v="6b47665a-5972-4a11-a9e7-d42e56cf42a4"/>
        <s v="8e55023b-2774-4015-86a2-780e882c0d87"/>
        <s v="64e8cb7b-f59e-470c-b704-3f79a8f2cc9e"/>
        <s v="dac843fc-5bc0-475f-a01e-8c48a965a9c2"/>
        <s v="fc8a05ee-e84e-44f7-96be-898033a352b4"/>
        <s v="c1103728-e36d-48da-ba95-42c7fc1ccca5"/>
        <s v="6a83774a-e4f8-4c9b-ae75-2c985e801156"/>
        <s v="03d8d67d-53e4-43e8-bd00-72801ff4e987"/>
        <s v="be245970-0c63-4d78-ae9d-e25f66cad9cf"/>
        <s v="50843e6d-c79e-434b-87b9-c3050b4bcc8f"/>
        <s v="bddbebd3-8d7c-4f54-b99a-707a32de78d9"/>
        <s v="a65e1da8-d4c4-4925-b15a-eefb65f84daa"/>
        <s v="44eb6606-bfe9-426e-8e4f-c7683d27a64a"/>
        <s v="b033c422-b86e-4729-a448-c047ea02bb69"/>
        <s v="c2384374-01f4-4848-97cd-a1327649abfe"/>
        <s v="9fa9acba-1ca0-43da-be32-3ee4f9804f9e"/>
        <s v="b17b1651-8264-42dd-ac16-7674416db2f4"/>
        <s v="165c0023-40a6-48a9-847c-8e2378c194fd"/>
        <s v="8f822140-8a36-4160-bf5d-68a254229e14"/>
        <s v="70a2c437-9cb0-4e0b-9cd5-ec6294260bb1"/>
        <s v="36cc47e7-ea9e-410e-ab8c-53adeed2d905"/>
        <s v="6c3fead4-1fe5-4288-be37-3b39d5d98304"/>
        <s v="a7a8f827-451d-439f-95ca-6682c5127351"/>
        <s v="8dcb205e-e032-4baa-a658-7e640f07fe1e"/>
        <s v="0a037e7f-e874-4665-a3e4-734c560a30f9"/>
        <s v="9cba1b15-28fd-439f-af54-d9a1bf7128b0"/>
        <s v="1a70ed1b-c3d7-4e03-b54a-3308b332ece5"/>
        <s v="8cbf9f9b-f7d4-44ca-9484-0940e88fe51a"/>
        <s v="6321df0f-9103-4ad4-8571-120df4dd675b"/>
        <s v="cb4fece9-bf8f-4e7d-8218-b9d826729e46"/>
        <s v="a279348c-c747-4e18-b056-f066a8c54d22"/>
        <s v="54ac59d8-1eda-4373-bd55-691a4a1a13f9"/>
        <s v="278f1d63-6044-406a-b286-8ed51ce0b45a"/>
        <s v="f2f8a751-e6da-4e2b-b90b-7189fd4833ad"/>
        <s v="f34bc8a2-d539-45c5-a4cb-e23ab3ad1bf9"/>
        <s v="76fde716-641c-4ff4-848c-ade7a38970de"/>
        <s v="8cfb7643-588b-4ac4-8843-ef2886b4bbea"/>
        <s v="f0d38b06-2059-47d6-9f56-aefc70f2727d"/>
        <s v="969772b7-82a9-4281-b808-f08dbacfaa54"/>
        <s v="92461461-c9c6-41f5-ba8b-7e68bb7088ec"/>
        <s v="041c1c21-48c4-49bf-8301-a26b4b366c97"/>
        <s v="0db62a2e-44b2-4c21-8063-f5b1546b6955"/>
        <s v="8d1f42be-4310-48c3-951b-e030b1423297"/>
        <s v="7fcd384b-a0e3-4e0f-a707-c4a8a1b4c112"/>
        <s v="3a57b856-992a-4aa3-a497-f62acef32235"/>
        <s v="21eb6780-a2cf-4959-81fd-6bec09658cd0"/>
        <s v="4b66bc0e-757f-46df-8fd9-af3d9751bd47"/>
        <s v="0d3db73a-8164-4ea7-82ec-bc976d02b86a"/>
        <s v="af40dcd7-913c-4661-9539-8e5b477bae0b"/>
        <s v="8a1ce3fb-e2c2-4c33-8f15-c428f8a97642"/>
        <s v="731cae55-5431-4c89-89e4-ae12557b88e2"/>
        <s v="fa85138f-7fb2-499a-acc2-02957ef92673"/>
        <s v="13dacdaa-eb35-4a33-acaf-5c98625d9304"/>
        <s v="748ca89e-cc7c-4b74-9211-5c7153943bea"/>
        <s v="ef211983-e418-498f-bd94-b407618f19f2"/>
        <s v="46208692-578c-41c7-a7ca-6da2fc87ff43"/>
        <s v="c959873c-5ee3-4647-bd0b-df86bd37e523"/>
        <s v="a735a980-0215-4741-924f-a6525c85f916"/>
        <s v="298b36d0-dae0-4465-94e0-f5a242f44bd5"/>
        <s v="826d9505-bc85-407f-95a3-b12b5fe5566b"/>
        <s v="1bb7ccf0-5ad1-49e5-831c-01f403e1e8ae"/>
        <s v="8ce73f48-2cc5-4586-974b-db612bc9d6ae"/>
        <s v="b07b2920-9fbe-4a2c-ab22-d232c3ad228c"/>
        <s v="57a6f553-cfd0-401a-ab8d-e08db3b7b54c"/>
        <s v="e17b8e31-1444-4e73-8d2e-98e479a23fab"/>
        <s v="a84bc74c-2d98-4331-a5a9-c762bb61fb2e"/>
        <s v="a87e348f-adbc-474d-84ab-934239890915"/>
        <s v="d9c044d0-2d9f-4974-b4ef-0cbae299e695"/>
        <s v="ed2140fd-8a01-4a73-bd2d-02153d2e7f26"/>
        <s v="1c3f2222-1db8-46db-876a-6f85812ebbbf"/>
        <s v="78bdd5ec-2c8a-49c9-918e-bfe3147b65c3"/>
        <s v="05462222-2134-4569-8058-16e2b626c19b"/>
        <s v="028c3012-bbb3-43aa-964f-69aba65f05aa"/>
        <s v="b3ac9ad7-3336-45ee-8e9c-45dd90295e61"/>
        <s v="a8f00c77-f3a2-4ae2-a236-7df93148023d"/>
        <s v="b87357bf-0adf-494c-9fb2-d5fb5810088e"/>
        <s v="1abba075-8634-44a4-b6c5-0ea6c8708df0"/>
        <s v="972e7cf2-8e0a-43e6-a952-bbda3382870a"/>
        <s v="ec133e61-2767-4fb0-ab9c-665b9e47a3d2"/>
        <s v="0281b754-3298-47cb-85b3-b7e7a8c57bab"/>
        <s v="5eb46f68-93f4-40bf-ade8-2f3822a7d3fe"/>
        <s v="4473af02-2d6e-42ae-8fd6-1e6eb2b0c846"/>
        <s v="a12e4ea3-c46c-4bfd-9028-7458aa0b25d1"/>
        <s v="41fe435e-4e1c-498f-8112-8a52ebd37db7"/>
        <s v="ac86de05-18a9-4269-876c-d1c20900fd8f"/>
        <s v="ce229233-81ec-4127-be94-95ce93175cd4"/>
        <s v="56137b69-5c0a-49a2-bc0e-cd99b52af4b9"/>
        <s v="15c161e7-84e8-482a-963e-a7e6326abc14"/>
        <s v="bda4c76c-8205-4def-8d46-9d2d6a40365e"/>
        <s v="39880590-7dce-48d2-a8b2-dcef91f42511"/>
        <s v="8961a6a3-8576-4db8-bcfd-98eaefa53976"/>
        <s v="53b6bfd4-05a9-41c3-adeb-dfaa20821700"/>
        <s v="51322ec3-e52c-417f-9f2c-20ffb25bf684"/>
        <s v="59db14ef-c72f-4719-807c-e681756eb5ee"/>
        <s v="a05c93ff-9a7b-4d33-9591-f2fbfbc01017"/>
        <s v="16c09f74-0932-405b-8587-0165634b10b3"/>
        <s v="6bbde35c-e30d-4e24-884b-5b00ccf47e4b"/>
        <s v="0e28ad98-fe18-44a9-9a89-466a166843e3"/>
        <s v="467ff27d-c3d7-4928-bade-34474e2a754a"/>
        <s v="0cede563-5f38-42bf-93ca-f67930084cf1"/>
        <s v="4143d835-b0c6-4920-b3a2-df5339be92e0"/>
        <s v="6e634080-3cde-4f41-b8b8-f7a29d0086fa"/>
        <s v="5118c46e-3697-423d-b0f6-bcb15c09e38d"/>
        <s v="673092af-8716-453b-88f4-efdc6f33c1e5"/>
        <s v="757f4440-b8cd-45b5-9b13-c97ac0e0b03c"/>
        <s v="ee97ba16-5d7f-4349-b9a0-cc9069b8707b"/>
        <s v="2f004d71-2bd5-4fdb-a629-c4409dbaf7b8"/>
        <s v="f175c4e2-a107-42a1-87d8-ae02bbeada76"/>
        <s v="7c83c051-cdef-4ee9-99b8-ab628e7e0137"/>
        <s v="2ecd07a3-c49e-486f-a9f0-9a7b1dc20737"/>
        <s v="7973d01c-f337-48a1-8f89-e3be9acd41ae"/>
        <s v="36046905-c325-4177-8dd6-ef3a3eefbe09"/>
        <s v="159a0e2b-f468-4295-9e69-b0d9dd79d890"/>
        <s v="32958c32-9158-41e9-a53a-1fc911df997a"/>
        <s v="5a5c3350-ddcf-484e-8349-4b078818dfc5"/>
        <s v="62a79a02-2ff5-4434-a42e-150fc8d403dd"/>
        <s v="a2820ce9-6172-4e14-acb4-dbc156430397"/>
        <s v="41cf07f1-c8b8-4719-8e87-4c6a66e4a90e"/>
        <s v="39df2d77-4667-462c-a9a5-a4502b01e2af"/>
        <s v="6486d7e7-8b63-4036-a105-6f846c2be7ab"/>
        <s v="1a1b2b13-06f4-45bf-a9e9-678df211aedf"/>
        <s v="87c5ffd3-6c28-4101-af3b-154ff4ae6392"/>
        <s v="d4f65876-1ffb-4376-ac69-30bc4a1f11d5"/>
        <s v="96edea28-2897-4637-85bd-60acc395c4c4"/>
        <s v="758acf48-c5d8-4ad9-8a21-e3e1440e091e"/>
        <s v="68461278-65b9-41b1-b4b7-f73c4451f4cf"/>
        <s v="45b0ad4b-932c-441b-b413-53565decfa94"/>
        <s v="1dada63c-2f5a-48d7-8e04-d26aacd30687"/>
        <s v="0461093f-4c28-41d9-b8c1-8f858b8a8164"/>
        <s v="95e49e46-be39-496b-8a9b-52bd39505406"/>
        <s v="b530707f-4d7d-4afc-bde4-e36c5328a487"/>
        <s v="8a075c13-f70b-4b5b-909b-e961bf332236"/>
        <s v="2acb1d18-6de4-4e08-ab0f-a43239b072ab"/>
        <s v="ec823a46-e1bb-48d2-a563-9abba872b426"/>
        <s v="bf0d8fdb-9d95-48a0-8ea7-0981d07129f1"/>
        <s v="9a710806-780e-4656-b1d2-a4266eab7458"/>
        <s v="b8d7d438-42a6-490e-878a-eabf47bc2626"/>
        <s v="102bcf63-b887-46cb-8d4f-8c9404340da9"/>
        <s v="26d71239-8773-4f98-a147-880cc7ae84cb"/>
        <s v="08148c4c-9768-48b2-a627-96eb9c4ecb15"/>
        <s v="2d413f59-b03c-479d-84d2-e6d17034f1ce"/>
        <s v="8b0b8f3a-d8c5-47fe-9e94-09d8d82d6464"/>
        <s v="6658ba19-5ccb-4206-84b8-fcfc241901bd"/>
        <s v="5deb41b9-32d8-431b-91ea-ba2fc94ad0f0"/>
        <s v="b159a2a3-ef00-43a9-86db-5aa4f2337f02"/>
        <s v="fcfe31f4-1827-4f08-8c09-fac8682e5bbc"/>
        <s v="699048e6-5415-4dd4-ada9-8e6e4a549eb2"/>
        <s v="ff0b4f20-17ed-4610-9fc5-30d4da7e79e4"/>
        <s v="cd9cf7e0-6da4-41df-8be9-2d02844b1c31"/>
        <s v="de92a9b2-739f-4ffe-aeb7-97d14d474602"/>
        <s v="d513a436-d4fe-4ff3-8ec9-e92a32ed8cc7"/>
        <s v="bd82514d-6aed-4ca8-885d-60312b6b736b"/>
        <s v="9e5f6867-749d-4b5b-97ef-2330c2558d3d"/>
        <s v="afbe8b22-f099-435c-a4a9-2882252b6103"/>
        <s v="df30a4f3-dbd9-408b-aef6-130263821f4b"/>
        <s v="446489c3-d916-48e8-af47-535cb42956ac"/>
        <s v="56344cb2-c22e-400d-87dd-49a631ced56f"/>
        <s v="1a50b4b1-1657-4b5e-a237-9cfb5c083efc"/>
        <s v="bfe71cbd-5340-41ca-b9f4-c5301c10428f"/>
        <s v="3c957274-31de-4637-8c46-828eb2c095e9"/>
        <s v="a54ade2d-7062-4dcd-a41a-a92c117729ad"/>
        <s v="c4d429ce-cdcb-4f2a-b91c-26eac3db495e"/>
        <s v="75ce132e-b6d1-4542-be19-8b8ae4cfee4c"/>
        <s v="862a25a8-b572-4c67-85cb-bdd2f7503da7"/>
        <s v="03d30ca8-82a1-4711-a969-6585129ef1c6"/>
        <s v="42eeb64c-1110-40be-a856-c0a364fb8c30"/>
        <s v="261825fa-a4ad-4a21-a7ab-e2b644eaa67a"/>
        <s v="fa9e790b-934a-4153-b8d1-cb8319d59c61"/>
        <s v="0e47c0df-dd8b-487b-8097-21c972837f36"/>
        <s v="d220d617-88a5-417d-906a-713dd8d57f69"/>
        <s v="656f3966-abb8-497a-981c-4e2bec529c24"/>
        <s v="a98bfa4e-dd81-401d-b806-a98b5c514056"/>
        <s v="3341556d-8dc1-42f2-b455-3a339ff909cd"/>
        <s v="f0291dc4-c15b-4bcc-97f0-04c50c8926f6"/>
        <s v="3217ab5c-f143-443a-aece-3a47846a3ff2"/>
        <s v="60d8025a-b531-49e9-a8a9-cc068cf74685"/>
        <s v="d9c1410d-a481-442e-a55e-c877ab1e7b3f"/>
        <s v="0cf77e4b-7fd3-4462-8680-6cbd693e9c0f"/>
        <s v="46378c72-4067-4729-b1e5-3d39203ab930"/>
        <s v="60961cdf-09a7-4a32-8c6c-2d05f517439d"/>
        <s v="9d83faf6-b95d-4623-85a1-78d8b416dd3f"/>
        <s v="7a66e4f7-bc95-4384-85ad-39070d893921"/>
        <s v="d5751f29-c753-47da-9e7a-d5ed1090b0ad"/>
        <s v="817537ef-9729-49a5-8458-d7108a639dab"/>
        <s v="15d306a8-d422-44fb-9ae9-88cc0402b65d"/>
        <s v="0ada26be-f753-405b-a1a4-3599df81e700"/>
        <s v="c499769d-908e-43f6-bd30-c1817bd0deff"/>
        <s v="1c44a1fd-cb0c-401e-8e21-c1a8d9242148"/>
        <s v="bc02e752-e8f9-4729-a7cd-24ba1ff00164"/>
        <s v="8dbce9a8-4e8c-41c7-a836-12fe71b7ad0a"/>
        <s v="b3d5e0b4-2834-4e54-a96a-d9085614ca23"/>
        <s v="4082ebc9-a484-41c7-ae7f-fcdfa5f8c7f8"/>
        <s v="a6735135-46d8-4997-ad55-d449e18fd075"/>
        <s v="4c53a9db-d0fe-42d8-a909-921633d44173"/>
        <s v="c46fe29a-c3e5-4c00-b9ea-94b719c84734"/>
        <s v="10459092-6977-440d-ad85-b85e03763cf7"/>
        <s v="9c66ca34-d486-44b8-bf48-2843a252f7a0"/>
        <s v="80c340bc-bd50-477d-a7dc-27237bf10b22"/>
        <s v="357c27a8-d03f-45e6-be30-3565ec6d4ff5"/>
        <s v="c6f0a1e2-99c5-4a17-b0d8-ad6d416c81cc"/>
        <s v="f4841777-97d3-4cce-bc0f-17c21f34e253"/>
        <s v="7d131cdc-d20b-4dba-ba8c-67f9adbbcf3b"/>
        <s v="b7d845eb-4a64-4099-a793-3f93363ea49e"/>
        <s v="75b08c4a-c440-4f59-a757-c070085c6101"/>
        <s v="8204039a-5541-4976-bc5b-19da90d1ecf0"/>
        <s v="97a11539-f994-4f4b-9252-85c25f05e297"/>
        <s v="e686ffbf-1106-4e80-9c74-30ed3ca60174"/>
        <s v="95d058cf-b6bc-4829-8814-0306aba9f164"/>
        <s v="5b24d4c8-65a7-4ec1-8ca1-f46584e4d7f7"/>
        <s v="98bc06e4-82c3-4589-93d7-e941e1ae7c85"/>
        <s v="49d7397b-eb15-4d2d-b30b-8f6ca86b2125"/>
        <s v="d59afe7f-49e3-483a-97f5-ce81f54d250f"/>
        <s v="34e4f422-3bd5-496a-af08-11ecf5856460"/>
        <s v="0d9c3f44-a748-478b-8652-36bac0fde7f7"/>
        <s v="404fea2a-d896-4427-a0d6-e0581df99ba3"/>
        <s v="bfb5f658-102d-4d01-bec2-1f4cced1bbef"/>
        <s v="c100b479-c169-4f62-8d2a-82994a8ef0fa"/>
        <s v="11a0323a-7513-4fd6-84cf-79c923b2e72e"/>
        <s v="d58eb71d-bd78-4ec3-8a70-34213c01464b"/>
        <s v="814e531c-1781-4af9-86e2-0da4494565c9"/>
        <s v="499ebdfa-358c-41aa-8d92-cc8b5259dfd0"/>
        <s v="5659c3e8-e722-4ce4-a66f-283a33db3b2a"/>
        <s v="d710fc03-2b70-47e7-9fe6-590b75fdde09"/>
        <s v="850ed2df-b6ba-4845-90f3-4d82ffd954aa"/>
        <s v="5c84518e-8046-4ee0-802c-5c7e6eafa4c6"/>
        <s v="4bf38add-780a-44cc-839a-27eadcf0009e"/>
        <s v="8a06b4fc-26f2-4b8b-827b-2c6a1f537edf"/>
        <s v="36de6ea0-d38c-4032-a4ab-885c917e6447"/>
        <s v="dd6c8ba4-bdce-4e89-8a25-248a85e34e96"/>
        <s v="b9c6fc20-68c7-453f-b881-23c480cd6bd2"/>
        <s v="b2ccd416-d146-4511-9bd6-7eb3bd7333c6"/>
        <s v="e469cff8-fcc0-4664-b06d-c801efd84779"/>
        <s v="d06b5f3f-acab-4f8e-bf1a-8c1dfe18228e"/>
        <s v="d0cc2a3f-64b1-4463-bad8-280dbaa0e01e"/>
        <s v="0a194163-91a5-4990-a439-13d2a04cdd0d"/>
        <s v="63646080-8a8e-4da1-9008-d9bbefce4fdd"/>
        <s v="c6836bfa-f154-46e7-81fa-88577b4553a6"/>
        <s v="00f3b5c0-94a8-46ed-a8a8-4d11bde44da7"/>
        <s v="d8feecfb-981d-4008-b113-8a7aba34e4b1"/>
        <s v="5d5d2fc9-2318-4ab5-b209-bb096e9dc1a1"/>
        <s v="239ba516-3ba4-4ab3-afd0-e7520e4284da"/>
        <s v="6563276b-f905-470d-b64b-37b07114a824"/>
        <s v="892ddf8c-3dff-4e70-bc34-fe5c8d39a78f"/>
        <s v="a684008b-46bc-446c-9f1d-5210c524215e"/>
        <s v="3f4e6744-9808-4bca-91b6-ef2b005468ab"/>
        <s v="594ee58d-dd9f-43f8-bbcc-5f4716f3b8bf"/>
        <s v="61cc0a01-493f-48a6-8973-8cc3bf69bd4b"/>
        <s v="0877fac4-86db-45ad-94c8-6b0e1624953f"/>
        <s v="4e35c600-2a16-4f28-9de5-5ac2151674a5"/>
        <s v="710a2493-760b-4c29-8181-ee456d867a10"/>
        <s v="a406d85a-6020-4738-b3ed-53d680678126"/>
        <s v="7a847fe9-f974-4d38-9d3a-114f4c95ca6c"/>
        <s v="b5d71709-4790-49a2-b5ad-435f7ed9b979"/>
        <s v="b34e56ee-bab9-42ce-a5f4-4476f3368f27"/>
        <s v="98d1bc59-ba9c-4923-b9cd-06d3c57ffe57"/>
        <s v="2fcfe31d-bbe3-4d02-997b-2a688e44aa4a"/>
        <s v="29b35046-a922-4222-bb43-d4f2e673f05e"/>
        <s v="c048f440-4471-4f5b-8f49-4805f745f284"/>
        <s v="6a533065-10e9-417f-90b8-cc321916284c"/>
        <s v="2feb799d-af20-4c3b-99b5-36c59009058b"/>
        <s v="213520c6-9cb7-434b-bd54-ffac25a0f0c9"/>
        <s v="448e14d0-eae1-4771-8c1c-dd1f4ea21088"/>
        <s v="ad71df5b-e541-4c69-a100-86824806dfcc"/>
        <s v="a7dfe4eb-5eeb-4472-bdee-bc2113869dcc"/>
        <s v="86e384a9-c2a7-45ca-a673-368c949b7a96"/>
        <s v="31af08be-2649-4947-9338-28fb518be843"/>
        <s v="db925419-778f-4d29-963a-7f15f6e37629"/>
        <s v="bedb2d59-276e-4a43-a057-2331a8689f9f"/>
        <s v="1f9cafc0-71e6-4941-89cd-cd0654b8509f"/>
        <s v="6685e5bb-9081-494c-b6aa-422ddb87955d"/>
        <s v="437715f5-b663-4ceb-8e4d-01760b5c39e8"/>
        <s v="fe56b9b6-8658-46ab-b178-142e1c6c32ec"/>
        <s v="43e6f253-5964-4977-b9a4-0e5736909a2d"/>
        <s v="8cbd3d88-e898-4121-92bf-4315def5c26b"/>
        <s v="df469a69-84f1-42dd-80d3-89ef0d15476d"/>
        <s v="4f8944d0-df82-4668-beab-3dcdc6f3cf2f"/>
        <s v="2c896ee7-2283-43d2-9ff9-44e43322ed6f"/>
        <s v="5d97fe11-f95b-42c8-8f10-ab98a05aedf1"/>
        <s v="1af3b08f-465e-4aef-884a-7fb512a724c1"/>
        <s v="0c2c5144-f911-42db-bd29-5f8d9540954e"/>
        <s v="33b5cb0d-ba44-4160-8e1f-1175cb33b310"/>
        <s v="344db87d-a5d1-4172-aec9-fa915cf7c5b7"/>
        <s v="50132920-f6aa-4e4d-8964-c48df8dcf12f"/>
        <s v="1ee6182c-86b4-4ebe-b5e3-4e371ac515a7"/>
        <s v="67e78427-8d9f-40c5-b32d-df9777d2029d"/>
        <s v="2b9e4412-7cfc-4c93-b65b-fdd1b959ea0f"/>
        <s v="f3f6eded-9605-463d-befb-0ec09cb7398f"/>
        <s v="8ad2a9d2-c3c0-4b9e-8d31-bc798c2a566c"/>
        <s v="9376962f-fb7b-4390-9eee-6e8d5c685697"/>
        <s v="499a27b8-9b8a-42df-848c-279a1fb88d7a"/>
        <s v="208bb22e-749f-4a4a-a2fd-3ec3a0703858"/>
        <s v="24f20540-a81a-4ad1-acf0-df3af36dae7d"/>
        <s v="7a1fbf36-eb1f-47d5-9a36-263dd8af1257"/>
        <s v="26650ad1-0a4e-4c43-b8b0-99095f0adc66"/>
        <s v="3cef5bc2-1b15-4ce6-a4a3-3a3e5951e220"/>
        <s v="4166e455-ac94-49a0-9bd8-7a5c8a17ac45"/>
        <s v="0a5787f4-b611-4db3-9a36-d6bd45f0ce8e"/>
        <s v="c433376a-096b-4d0c-b385-da369f628996"/>
        <s v="f04eeda0-c720-4430-b322-240c09bd8019"/>
        <s v="4d35d453-5b30-4e58-a33c-a870dde7a68f"/>
        <s v="ee1c498f-9419-41b5-aad7-950f328bcf29"/>
        <s v="1721608b-9124-49ea-8ec0-ea350388ca09"/>
        <s v="715a22e4-0dbf-4ab3-9d6d-bc8cfaed54f3"/>
        <s v="4185aaab-33a2-4e6e-bebe-5b6cf12100d2"/>
        <s v="5b96a097-c481-4d3e-86e5-63c57b646a68"/>
        <s v="89989cae-b728-4235-9a32-5fbf288f2094"/>
        <s v="3cad7de1-68ae-4cc7-b586-20c1f7e16a6f"/>
        <s v="43dd123c-830b-4e71-8f96-a6643feac4d9"/>
        <s v="d7d84721-5bb1-4a4d-b1af-1660508cc586"/>
        <s v="5b8c2387-f4d6-4823-8d42-a41707a832ef"/>
        <s v="b97d18e7-1657-470e-bc41-0860e9f0889b"/>
        <s v="512f8818-bb8d-466a-9f10-79bd8f52408b"/>
        <s v="c9d412ed-c316-4612-a0d3-34580de6a8c0"/>
        <s v="0290472b-3bf5-4451-95ed-11349e543e25"/>
        <s v="de4c96f0-b965-4289-ab99-9976cb8ce9b5"/>
        <s v="6a272f91-94e7-4624-af64-2a57ea5ea246"/>
        <s v="c744e13d-7463-4060-ba2d-cdabdb1c3b2d"/>
        <s v="20632308-0231-4070-97bf-4fc82c188f74"/>
        <s v="9183f20d-2692-4cfd-9433-54c64739a537"/>
        <s v="63bf917d-0951-46b0-8ecc-bca9b657690f"/>
        <s v="c800eb85-be04-43c5-950c-4be1b628b942"/>
        <s v="3d80365e-3ca4-4c40-b7b5-8655955878bf"/>
        <s v="df1772a5-47bc-4e80-a07f-cca86b2ebcdc"/>
        <s v="0bbe7dc7-b837-4dff-83eb-a691bf3d9337"/>
        <s v="c0e13eaa-0352-4ecd-87d9-f5acfcbb40df"/>
        <s v="50041cfa-9dbe-4a33-855e-dfc293e0392e"/>
        <s v="7d923bc2-e260-42ce-af34-40f80a5bb97e"/>
        <s v="a0229848-67ee-4a81-b13f-f722ded36349"/>
        <s v="dbe8b52b-292f-4415-82d6-3dad0ebf96c7"/>
        <s v="efd76242-e0b5-4aca-8c44-84ce7f553f97"/>
        <s v="74aa1913-0ff5-4bb1-b6ab-0793b04293d5"/>
        <s v="770c656a-1e48-4e6d-8a82-6d225a04964e"/>
        <s v="9b5f5828-58aa-4107-b467-e223f64cae41"/>
        <s v="5adc0581-cda3-450e-9af3-c3c10c954910"/>
        <s v="9ed12598-d607-406c-a92d-66e498a65727"/>
        <s v="077fd234-6153-410d-a149-184f01f2e37a"/>
        <s v="557a8a9d-fb81-41f2-9c1e-7c5651463eae"/>
        <s v="5548f892-9c81-4567-87e7-399e543e91d9"/>
        <s v="147138ab-2800-4faa-9770-b5aac577f7f3"/>
        <s v="4f7b91d2-aac8-4620-9241-12ffa5035fae"/>
        <s v="e4cf76ae-abd2-47d4-a0b7-6238612481ae"/>
        <s v="76bda0d9-e9f9-4356-9c98-ac7e6cc773af"/>
        <s v="08b75205-ce56-4b95-a64f-9819304e40e0"/>
        <s v="be84e0fe-9e4b-46e0-be04-6f0f71667755"/>
        <s v="6df2b0ce-9ac0-4cf2-946a-557bf24c972f"/>
        <s v="279ccf00-0de5-4813-a6ed-58a52bc1a5ad"/>
        <s v="8f7b25cf-e88f-4704-9a71-5fe4e6e4d0c9"/>
        <s v="8429854b-a406-4cf2-9cdd-ed466b843f6e"/>
        <s v="df7faa34-7de9-48f0-8ba1-2897a5b1e8fd"/>
        <s v="6b1218cd-9317-4016-8163-c9066aeb1992"/>
        <s v="a7ec5218-20b5-4ecf-b899-d9c26fa6614c"/>
        <s v="2a51a5bd-6af1-4306-8be1-f8bb0f7106d3"/>
        <s v="21534354-fc0b-48d9-9d78-62a4badc1a43"/>
        <s v="2928f18a-0aa5-4ac6-90e5-f816a534a90a"/>
        <s v="111af87c-5fa3-4502-94ae-5ee5b28a52c9"/>
        <s v="22325f75-012a-4872-929d-f3dcad77dde8"/>
        <s v="8faa345b-0095-4a30-b89a-79a7b53e217a"/>
        <s v="17ce4fbf-b0f5-4e3b-aeb9-956b5c881168"/>
        <s v="7ca60689-ffdb-4ad9-b339-4085c13dfc70"/>
        <s v="54fb7e8c-ef1d-4daf-815b-e5c1e7948ed3"/>
        <s v="51261e24-fd4f-491f-82aa-f60c2d85e228"/>
        <s v="dd4ae052-c48d-46dc-a438-fad5a215831b"/>
        <s v="627df819-fafe-490b-ae7e-587db323ca23"/>
        <s v="200bbda1-4911-48eb-b2f0-a013eecdf376"/>
        <s v="68c5e3c1-7b1b-43a7-acde-3a8ad2cd8bac"/>
        <s v="c04d55c7-13f0-4d59-820e-72c4f05b3e9a"/>
        <s v="6fbf18c0-1d19-4cf9-b5cc-83d5970b7678"/>
        <s v="01033810-39b1-401b-94e8-71a15ff61d49"/>
        <s v="27c73c7b-510b-4161-81d3-83559a1ad5b1"/>
        <s v="7ba0efb4-239e-4695-a171-7e53a2d5321c"/>
        <s v="38bac1f5-8a77-4803-a105-2adcca972ed6"/>
        <s v="1c737d8d-798a-48ec-948e-46c132c3393f"/>
        <s v="fa3bf710-eb5a-4873-893c-d6a73dc7c4f9"/>
        <s v="93eed3fe-4660-4b73-ac92-7b7bf72ad00f"/>
        <s v="ff3bf349-be3d-4ed5-a05d-026306680047"/>
        <s v="50ca8d12-6f3b-4d72-852c-ddb04e41ecb0"/>
        <s v="3ee7965a-242b-453a-bf95-82e9c7bb26d1"/>
        <s v="60fe9134-df81-46f3-ad0a-16da706fecac"/>
        <s v="69e33745-af53-42a9-8a08-ab9b741268f8"/>
        <s v="54181b0d-ea89-4121-a212-605c632d4222"/>
        <s v="df7beeeb-1466-45c0-b687-7861cff4c459"/>
        <s v="4466335e-c645-4d4b-a152-4044038bf97c"/>
        <s v="a60e107a-d3cc-46c7-9a8e-b0aa9cfa7817"/>
        <s v="569d9a75-753b-41b8-9540-1368ec0acbe5"/>
        <s v="f76306ca-536d-4c20-8a36-77c9fc49afc0"/>
        <s v="d8b5d3e5-0632-4dbf-9b3c-2094a15de8e8"/>
        <s v="89fcd453-c6b3-469a-96fa-b54ec64f874f"/>
        <s v="4c0c62c7-01f1-4c1a-be44-12a93c7d2e39"/>
        <s v="838f9377-c59f-4f9a-a769-8126696776e4"/>
        <s v="0c6b7809-83fa-4fe8-ae0d-766b000834e5"/>
        <s v="873e756f-1f4a-4de6-90ff-4cb697b1e8fe"/>
        <s v="a5740e45-38d1-421a-8d38-8a6d427463c6"/>
        <s v="055f940c-62c7-485e-a8a9-6e6970c4bd9d"/>
        <s v="2a34b394-3a83-4acf-a98b-738080cc0de3"/>
        <s v="b138908b-b0cd-458c-9da0-707f94b0ffcd"/>
        <s v="f055f3a8-2041-4c8b-a2df-fc620ea22103"/>
        <s v="3f395849-b4c1-4e2b-9b2f-e88f10b94e05"/>
        <s v="fdba0744-ad19-42dc-a09e-8fc306cf7732"/>
        <s v="8ea7037d-ea94-41a9-96b7-83c29d8264c3"/>
        <s v="b76b9aa0-31e3-4e6d-905f-d7fc227d629a"/>
        <s v="8588db90-3e5f-471e-8500-c89cbc6d1623"/>
        <s v="2f83c135-17e5-4888-8b31-f505c0170e5e"/>
        <s v="30697ee3-c6f1-4277-b269-c3c951095f84"/>
        <s v="8018872a-4ec4-4b51-8563-8d9d85f09396"/>
        <s v="b5b62540-d5f3-4cd3-bdd3-48312389c2db"/>
        <s v="ac1d0457-8737-4d32-adc3-08dc6711b75b"/>
        <s v="8a373805-0041-447e-8540-70bded3c26c5"/>
        <s v="aeae3ab8-cc1b-48bb-8dc8-c1ece4d21277"/>
        <s v="3820b6cc-8345-41e5-85aa-bd7f843a64c7"/>
        <s v="86e77ae0-7bda-40b1-a21d-bd010a7db5de"/>
        <s v="27424277-2200-4cc7-a0af-4c423a089f4b"/>
        <s v="32755cad-98f9-4eda-8888-7def2a0dd965"/>
        <s v="1e7c8a1d-abaf-4fac-be1b-22c8312a6026"/>
        <s v="dafa21d9-a2ea-4867-b143-31f8243c024c"/>
        <s v="fd7d838f-61fb-4072-8a90-c3d1b393f61b"/>
        <s v="9643a7f2-7f1e-4f3a-b67a-e4db4ac513f7"/>
        <s v="009ae06d-cf99-467d-9ca4-a01697f72e27"/>
        <s v="922204f6-79f1-49ba-ab4c-25b2f7427397"/>
        <s v="5d45490d-e212-40da-9db3-7fe81d466e5d"/>
        <s v="c95e92f7-8dde-45fb-8837-d183a4786431"/>
        <s v="165472a7-d6ca-4fd8-9f05-0a98ddac11f5"/>
        <s v="03e2d336-f9ca-4b38-a731-4fc42de09dfd"/>
        <s v="1e54c09b-4c64-4a56-be8d-61e1318d7de9"/>
        <s v="67b79c05-b522-4593-8812-0d7f9fe8aead"/>
        <s v="2a1cc810-f23f-44be-ad5d-2c2061de3b67"/>
        <s v="94019fc0-5f8a-4f46-b07d-b18f9ed2fb2d"/>
        <s v="acec8856-d263-466f-b05c-84bd5b847fc1"/>
        <s v="54483220-8340-4be3-b6c6-51347b1f367c"/>
        <s v="f4ecf59b-ae01-485b-a05f-b80aa788d151"/>
        <s v="6f429ee1-fdee-4a46-88b6-217e010bf7ca"/>
        <s v="f6a4c26a-3865-4f58-99c7-07d8e2ca6da0"/>
        <s v="dba5fcd9-c9cd-46ba-a785-12d580ffe57a"/>
        <s v="018fc11e-35bf-41a6-9c2e-0fe1cb9dcb9b"/>
        <s v="14ad0f9b-ea8e-437c-b3d9-d3b4ddd90518"/>
        <s v="6a2ef805-75fa-4c53-b30f-57c35a82c2a4"/>
        <s v="b4335591-8cf2-4447-be7b-0390e7645fec"/>
        <s v="f0651ccf-cec5-4eb0-881b-198e786e21cc"/>
        <s v="b402f6a3-5340-4177-a05b-5f6189a1ccf6"/>
        <s v="76479ec1-d623-4c0b-afe8-94ed5d2b1841"/>
        <s v="da98ee54-efa1-4a37-a44f-16e69c8a3769"/>
        <s v="53cd2e8b-92e5-4411-a0ca-9f936ff0be49"/>
        <s v="30a44076-ebcc-4c8b-8064-9e1a18718512"/>
        <s v="74e91e22-a440-4514-996c-da314a1c94c0"/>
        <s v="915c486d-4ef1-4e6b-953c-b179a8d2ba80"/>
        <s v="294b26f6-bf81-4c20-9d69-4b0d99e6fdc0"/>
        <s v="b73ffa14-dae4-45da-b61f-6c3f7f80a89e"/>
        <s v="348f55a1-ec49-4749-b0f2-d28f1d6587c1"/>
        <s v="6d6dc8da-1c46-48a9-9864-d6731b144bc7"/>
        <s v="02858336-ce07-4437-8326-04e65dd55fe4"/>
        <s v="fa63cc57-bb9c-4785-aff8-0c7c326b44bd"/>
        <s v="45b7faf6-5799-4708-8c79-9b6b478ccfc3"/>
        <s v="03e4dd2e-3e51-4d0d-a880-eb30ad369498"/>
        <s v="853315fd-3f57-4c4d-b1c0-63876571d6be"/>
        <s v="0b7c1304-c2c5-4050-9b73-fd7e7c4c1936"/>
        <s v="586df37b-bacf-4952-94e8-20049c50d537"/>
        <s v="35bff7d1-834a-47b1-8627-e9ce0847bae9"/>
        <s v="6c9a8394-7c0d-49dd-814c-cdca8e78dbd5"/>
        <s v="f6a5ccaa-f8db-4293-9b11-932f3470afdf"/>
        <s v="1cc3a12d-c04b-4839-a053-31d0fce65570"/>
        <s v="be2593fe-882a-47b4-84fb-96d56973714b"/>
        <s v="e00df3f6-aa51-4a6d-bf1d-36462af123a2"/>
        <s v="5eb1511c-6bde-49b4-b1e9-39aeeca914bc"/>
        <s v="43bdd060-f236-479e-81bb-97be1c5dc7be"/>
        <s v="c331b5bf-7dc0-44f3-bbc6-33242970d6bd"/>
        <s v="2c43e82b-a86a-44f0-a9c7-359db0ff3d83"/>
        <s v="7a27100e-236d-45f0-952e-b7c838d737a2"/>
        <s v="25b223d6-04b8-478f-9246-79edbe8738eb"/>
        <s v="8ccc7ee3-b4a6-404a-9faf-787343dc06f2"/>
        <s v="4d39c9a6-3193-454d-9981-2f01cdfb6409"/>
        <s v="6d865eac-7ee1-4c9f-bf09-98a0163a585b"/>
        <s v="36d91d20-825b-4909-9326-ca55a5ba261f"/>
        <s v="ce0567fa-7e48-43a0-a5b7-07aa5cc439d0"/>
        <s v="302bfa8d-a0d2-49bf-ba0e-92515d5d4911"/>
        <s v="32a2277a-2bbc-47d0-9874-fcd6195b5e16"/>
        <s v="261f24e0-0c30-40fa-92d3-3c013d335e1f"/>
        <s v="bc41d301-8342-4b13-a0a6-0094760ae37b"/>
        <s v="b21c5672-3d61-481e-bd82-6e363e042060"/>
        <s v="fa21bde8-c128-4e66-83c3-a35891b527e7"/>
        <s v="ae03b614-5581-49d6-bb73-db61d22a7b6c"/>
        <s v="eec053a4-5ae1-415f-b30f-845523ab472b"/>
        <s v="a5a9edd5-c2b3-4542-ac87-c882564547e6"/>
        <s v="ed2a25dc-7b7a-4810-9252-9fa56521ff40"/>
        <s v="15c297bf-5d8e-4902-b9f9-0205a370b77e"/>
        <s v="48fa08f3-3f1d-41d4-98c7-9d364159c3ee"/>
        <s v="a487c1e9-95f4-4b1d-b9e1-8ce364aaa62c"/>
        <s v="b5d4423c-9255-4859-8feb-44a8655b46a4"/>
        <s v="5199a25e-ee56-4e1f-9c71-21f24998e8fc"/>
        <s v="2f12cb9e-2010-490d-9bfa-31410ba27433"/>
        <s v="495441f0-2d83-4d9c-aafc-5c80643ab7b5"/>
        <s v="32cbf6b2-5cd5-4174-8a02-005124de47a9"/>
        <s v="5c493940-b957-429c-b2c2-6378fa0e9e7b"/>
        <s v="d6516497-6c06-4709-8da9-2fbc709d5c67"/>
        <s v="b6857111-61b8-43f5-8981-c8ec006f2fb9"/>
        <s v="1801df3c-96b3-4e4a-be9c-19777e295ccd"/>
        <s v="af657191-85e9-4afd-94e6-b34adf3aa8e2"/>
        <s v="d7e693a3-06a8-4900-a649-17ebdc044442"/>
        <s v="2d00fa46-ed9d-4a83-8d4f-00268740aa20"/>
        <s v="b970ae82-fee0-482e-b413-b42d8439bc7e"/>
        <s v="82c801f7-86fa-465e-b47e-1a2faca2409f"/>
        <s v="3be08974-31f2-40c3-afb9-3a240fd500b5"/>
        <s v="eb22a1ca-e765-4386-9637-b65cff10da6f"/>
        <s v="e9aad92b-b3bc-438a-9893-00066fab9810"/>
        <s v="92e1c1ff-b495-49b7-a5b5-d0aeb1d04194"/>
        <s v="4b28f4e5-d521-4d6e-94a1-2e2d06559b71"/>
        <s v="a2ab5f05-64d9-4b5f-a606-40a5bd1bb17c"/>
        <s v="cb8f4dea-863b-4651-a226-6e0dec00b253"/>
        <s v="4f0f1770-3af6-4b65-a5e9-61a996e12a76"/>
        <s v="48f1f9b2-e5c3-45db-9c35-dba3af2b3e37"/>
        <s v="39f5457f-dcd1-4ade-baf5-0b5ac2798271"/>
        <s v="8d5984e4-42c5-40ea-a6b1-0829494656fe"/>
        <s v="0a48305d-5c9c-4afa-9ee6-8e31efd58718"/>
        <s v="c52c3f64-0bf6-4119-ab4d-0c0c46049424"/>
        <s v="0332c3e0-2f25-4dfd-ad14-79f12be80567"/>
        <s v="ddd463db-888b-4ab8-b2a7-396cacbc0f7c"/>
        <s v="650656a9-a043-47bc-ae91-0380ba19f6d1"/>
        <s v="63edf886-6d4d-489d-a1a2-e321304707b2"/>
        <s v="3773bcf2-e766-445f-90a8-279d0bd1b1ae"/>
        <s v="8f691093-3270-4ace-ae7f-f6404f3e9c97"/>
        <s v="ab896c73-e2a6-4dc5-922f-889ab750954e"/>
        <s v="e8b495a0-823c-484a-8e06-d1bdd07a0b5f"/>
        <s v="89cde298-9d2d-459e-ac2a-33f1db2b8db1"/>
        <s v="e14300c1-3569-475f-a547-4c787f5cf604"/>
        <s v="5532c3c2-1fd2-4b63-a93a-fe0891b55345"/>
        <s v="b5bf5404-1040-4584-9e23-bd9aa4a748c4"/>
        <s v="d079bbf1-e637-4020-8ca5-6bb2c45c34f9"/>
        <s v="7896d226-252e-4fbf-902d-719da7aaaf24"/>
        <s v="71b6157e-f3ed-4bd0-83ed-fc382c96bff0"/>
        <s v="72bb2e02-f0ab-4425-ad19-83e3487dfc79"/>
        <s v="f778848a-1ec7-484b-a619-98ff8730961f"/>
        <s v="008ee7b3-7786-4b09-b979-9ae857581c91"/>
        <s v="1de0d9e2-fea5-4f41-858a-b4d39e7e4657"/>
        <s v="5e0eecec-2dab-48b7-a609-0fd963d1d90a"/>
        <s v="24b8ae05-3a27-4a1d-b704-94fbf52b7e78"/>
        <s v="e13367f1-7d08-4bb3-a252-f1741f4928d8"/>
        <s v="b343399a-8398-43c0-a157-92dd7a44f5c7"/>
        <s v="45698812-aa8b-4fea-b214-81743c8c3e1d"/>
        <s v="2c42cc7e-a16c-4dc9-ae59-89dbe94c5127"/>
        <s v="0514f6bb-c61e-409d-8985-bc35bb86f4af"/>
        <s v="3b41356a-51cc-450b-9098-9b6959c32336"/>
        <s v="496f9895-2148-475d-9da8-8846db1a0d2e"/>
        <s v="f10d3d99-9f63-4b93-a89a-94e952ffcf1c"/>
        <s v="18b6e7f0-7f1c-4914-ab72-945d8d766ba6"/>
        <s v="9fd5d30c-2b67-444a-b0bd-e6ce0c2a3c03"/>
        <s v="a9af6b62-1d3a-42df-99e5-230a527f9cf6"/>
        <s v="d3e4b4f5-0e5d-46c7-a6d9-b15a09e90033"/>
        <s v="6b289530-390b-4fbc-a2f2-7adff1dc65eb"/>
        <s v="732de4a4-0325-4391-a400-19ffb39fdec9"/>
        <s v="df271a81-4486-42c3-b66a-88accdba843d"/>
        <s v="d1dd5a1a-3f08-4909-b8b0-04384056d29b"/>
        <s v="55359418-5f6c-4f2b-9e70-525bf3b5c143"/>
        <s v="1a8c7e9d-606f-43dc-9e8a-38707414cb60"/>
        <s v="b132b519-abc7-45bf-afcb-a51cf812697a"/>
        <s v="e4d04092-1822-4155-841a-4386e1c16529"/>
        <s v="6c36c1bb-60d5-43fc-9b1f-840f4136899c"/>
        <s v="570e94ce-b053-46a5-8a1e-1a663553c880"/>
        <s v="84862dcd-d58c-423c-99b1-8b1ee8b38e4e"/>
        <s v="73c9e2ed-d0e0-4b5c-92ac-e3a55014e974"/>
        <s v="22971ca8-f21c-436b-84f8-11a2a2c20ff6"/>
        <s v="e2689eed-d7a5-4b39-a1e0-7b6894376ce5"/>
        <s v="f8f7bac5-22e3-4fcd-8c93-90375d23c11b"/>
        <s v="41673c52-8873-43f3-b016-36a8c4e22ead"/>
        <s v="d28fd44c-05cd-4575-a1d4-081b8663b676"/>
        <s v="38689b3f-5f78-4f2d-8f10-c3c9cd750a01"/>
        <s v="c1fae86b-bd50-4387-a36c-f6dd0feee517"/>
        <s v="342d4b10-ea36-4f9d-a345-cbb571e1445f"/>
        <s v="1b8b26e6-8632-4b38-8f73-c6f0e70ccf60"/>
        <s v="346d7c42-eb45-461e-a667-5669781129fb"/>
        <s v="2613eb8c-73dd-4b40-8ff0-7cf4fa29b165"/>
        <s v="636e2a36-d8c0-4ac8-b15e-52b5f9b2507b"/>
        <s v="d7b9f594-a51e-4402-948d-437dc2679714"/>
        <s v="09c37b10-c227-4f88-9c6a-eb146d381382"/>
        <s v="4181125d-2bd6-43ef-b4f7-d88b503ebcc9"/>
        <s v="c039c16a-b7e7-4616-8b5d-dbc120a30d24"/>
        <s v="bea55d48-ca8e-4a5e-81da-22d3ae44e9a0"/>
        <s v="d6c6c3cb-6cf5-40a9-b8d5-65640f8dab1c"/>
        <s v="60d79197-fd4c-4a31-a577-d7d861b32c67"/>
        <s v="6962b6a9-7e9b-4fc9-80fb-8d56c5243ad2"/>
        <s v="1f4ac01b-7a1a-4d64-ae6d-a13b0dd45606"/>
        <s v="84603ef1-6930-4a3e-b3f4-2e56b1a84398"/>
        <s v="d5d39d13-0c4d-4695-9fb3-6fbc66298a78"/>
        <s v="784aa491-3eb3-4b5e-858a-3b24918b10a1"/>
        <s v="c7ef43ee-8690-4aa4-9f03-8c8f2d905b35"/>
        <s v="582a5e26-8066-4160-aeff-a40ad4fe52e2"/>
        <s v="dac9f21c-448d-4f16-bcea-f8eb66b827c1"/>
        <s v="a07f9aa3-2d4a-44b5-983f-9e8c4f941136"/>
        <s v="c3bb3562-c65e-4e05-bfb3-9df465d18c89"/>
        <s v="9e9a947c-796d-4653-bc4d-b777a5aa5e38"/>
        <s v="a8b647c7-bcba-44a0-8e1a-6b49fad5f46a"/>
        <s v="dca0f25c-824a-4634-827c-d385dafa7123"/>
        <s v="f2788526-390a-447d-aadf-5ad11ba53e76"/>
        <s v="720e7c71-4c87-47e1-b24a-7f8c021bc9a3"/>
        <s v="c6fe3646-36da-4379-b9d4-1237b3932c67"/>
        <s v="b8257a06-d0a6-4198-b8a6-7c4130b98420"/>
        <s v="688bf8b0-b0ea-4f26-96a2-bf0bf26b0c06"/>
        <s v="f6d11075-7912-4e6a-b081-b8502c35c2e8"/>
        <s v="2cd50550-d603-41b2-a403-b06bf90f402c"/>
        <s v="8e4ddf27-be01-4cd2-bc4a-4045e7298017"/>
        <s v="89a9fe2d-5336-4fdd-98cc-119f72686d97"/>
        <s v="632f3ed9-ab81-468b-93d0-16a797a5d1c7"/>
        <s v="5407753d-0304-48ca-9ea9-d8bbfb643e29"/>
        <s v="f3c3146d-5022-4c1a-8a7c-38632c504802"/>
        <s v="a73cd6f4-c471-4e0a-9570-af0860e0c5d1"/>
        <s v="9569ccbc-bd8e-4611-8386-71eeb9e0963f"/>
        <s v="8ade79e6-11e9-4fba-b189-eb3b62f4cbd6"/>
        <s v="590172c6-7ce0-48b6-82b2-7436a3631331"/>
        <s v="a49f90f7-8839-4571-8758-445882bf113d"/>
        <s v="46930688-ab22-4f38-922e-c8bdee972554"/>
        <s v="20d27746-91f7-427d-9e21-02ca06d5e5c3"/>
        <s v="cb2352c0-8796-4ebd-84d7-33203546a4cb"/>
        <s v="42475c68-ebdf-44e9-8ae2-152388b5d345"/>
        <s v="f10d9e5e-78e5-42f9-984f-478745f93fb9"/>
        <s v="e7e6c336-1e49-4295-a6a2-d4acf044ce4d"/>
        <s v="31d353ab-28f4-4ab9-8b40-a16ebfc9742a"/>
        <s v="4c7d52b9-0e48-4e31-bcf4-e5fd45e48176"/>
        <s v="700aef49-fe52-4fd6-8401-bbfa8ba48024"/>
        <s v="dffbee9b-2a20-4916-9f32-44754d3fae5d"/>
        <s v="7262df37-0083-41ed-b686-43f93dc8ea21"/>
        <s v="4404f1db-09be-4f2c-92f0-2d65ee6b0394"/>
        <s v="c7da08b2-c581-41ed-8398-757d407a24ef"/>
        <s v="698672ae-dbbd-4086-a5f7-90c3dfe00ff8"/>
        <s v="9e945271-543f-4b06-a34e-b1dfcd6b8450"/>
        <s v="9d189c13-ff1e-411f-93d3-ee251f727785"/>
        <s v="a244bdbd-1394-4bdb-bbc3-e6fc452874c4"/>
        <s v="ec0799d5-b19c-407d-9997-ef035cb093a4"/>
        <s v="117eebda-32b4-42cc-95e1-dc2c259fffa6"/>
        <s v="d8cce44d-2d8e-494b-b543-022a5aa32bef"/>
        <s v="1d820555-0e65-4a21-b58e-10930e326e7b"/>
        <s v="ed9aad8e-d0c1-4dda-a2ae-ab5809b7fd52"/>
        <s v="75a62e15-6018-4f88-b473-5dd4eb79e63b"/>
        <s v="2119f43d-1200-4439-ad32-eab189cb6475"/>
        <s v="517b090a-2e73-4c68-aad4-180d1350b369"/>
        <s v="7c10c6c6-9acd-42a2-b74c-041e173a74ff"/>
        <s v="b847cf15-a430-4067-b4ba-2bca14b1ebd1"/>
        <s v="4b439440-bf95-4e0b-865c-32dff4dfe00b"/>
        <s v="99b0e8dd-7174-4559-a628-143ef6d46608"/>
        <s v="5150f58c-f863-4f35-bdd4-d6cfc1a1ef10"/>
        <s v="5e092005-bbaf-4295-9ccc-3c9493b48d04"/>
        <s v="37a9f5be-b24a-4f6c-97bd-9b822a31fa1d"/>
        <s v="325642ee-2d8b-4a13-a954-d573be58d386"/>
        <s v="86dddca7-94b8-407d-9b43-bb0906ba81e6"/>
        <s v="791a6835-1e53-4dab-9537-f28d07071087"/>
        <s v="1d0dc58b-5630-4061-a4c4-8af444dd978f"/>
        <s v="3cd2ba34-59ca-4654-b969-558904dc2456"/>
        <s v="66a70af2-e06b-4866-8aaa-a2912c261d68"/>
        <s v="d035d687-44b0-4ce5-a8c5-2c6ad05a14b6"/>
        <s v="69ab5c31-c863-41d0-94a7-8aa6b0126003"/>
        <s v="257f5799-af41-462b-b2f9-acae82ba412c"/>
        <s v="d21d73fe-7b8a-4ddb-a473-47c717ebb087"/>
        <s v="c6ebe95f-880f-4175-b857-173d436e2753"/>
        <s v="7a049296-c624-4bff-8f06-3b6b06011495"/>
        <s v="7ce37500-a380-4f67-8cbb-04f3cb8e5cc8"/>
        <s v="43c7bc6c-6c1b-481e-b0de-1a182eecc87e"/>
        <s v="7a491145-3991-4010-a1e5-3b0f7d86b7e3"/>
        <s v="530801f5-4c88-4d00-b297-5944ebece83d"/>
        <s v="403acb42-0f8a-41c6-b42a-d1adc4b62bfb"/>
        <s v="f652769b-e1e8-44a1-8f3d-6f80c1ac3f13"/>
        <s v="c29d00e9-6a9a-45f0-b194-a343ff209570"/>
        <s v="ece1df7a-ba2b-48cc-9d1f-e8d8a307a1c6"/>
        <s v="0e8a03cd-16fb-4487-accf-bc309a83a97e"/>
        <s v="d337811c-59ff-494c-9e71-77b6282c296c"/>
        <s v="017b54f8-9568-458c-be6a-2127e15e3349"/>
        <s v="8d755bac-229c-4065-93f5-cba971acb014"/>
        <s v="0aaaf135-b356-4f2c-bdf2-f1df1f461081"/>
        <s v="1fc16a62-28d6-40bf-bd79-70a515ccaa32"/>
        <s v="123ae22b-bc9d-4228-96dc-fc15dfb19590"/>
        <s v="66f10c57-ee31-4fe2-b3a9-4e88f49e1e71"/>
        <s v="983f661d-1d5c-478c-aef5-611a679c13a6"/>
        <s v="1f451643-e6fa-4d54-b03d-304b7a23b3e1"/>
        <s v="2394f979-8464-44ce-a630-ae28dbf2d042"/>
        <s v="cce81a35-f0aa-40e7-a33d-43e447f74b34"/>
        <s v="d2226fcc-944b-4300-a358-816d2b168c5f"/>
        <s v="d4d30727-21e7-45cf-abfd-68611006864c"/>
        <s v="b7681cb8-fbde-4312-ba1b-0c772e149e82"/>
        <s v="d9f6800f-10da-460e-b27e-bdbb10820a14"/>
        <s v="dc08f2b8-94f2-4889-8156-0e3c3724d0ff"/>
        <s v="0fcf615c-8bf9-42ad-9b7b-8c8dfce43c46"/>
        <s v="bdb0c3e4-d084-49a5-a6b4-ba900b20e2ae"/>
        <s v="3bd772bc-8bbc-41a0-b2df-bdeee19f3595"/>
        <s v="47c5d8d5-18ad-4bf9-80ad-542822b25aca"/>
        <s v="8dac1bb0-62a5-4b93-9f18-74bb64e1f8a8"/>
        <s v="6b2a6d67-9ca9-4751-9892-59fbd4257856"/>
        <s v="7e9821f4-95d8-433f-958b-d88fd9985891"/>
        <s v="36cbc08f-0000-4ac1-a306-2119638696af"/>
        <s v="e6cdf437-19fd-4174-9933-e60c7eb6eab2"/>
        <s v="2ee16a28-cb66-41ad-9e11-480593b992f3"/>
        <s v="5cfc2d19-d3e9-408a-82b3-9e72a480e588"/>
        <s v="4d3c7cfd-d33e-47a8-a31b-f2a694c31429"/>
        <s v="bfde20ee-a837-4bd7-af36-f9e5b40dfe3b"/>
        <s v="ead07a50-6dc3-4997-a078-77b5ae38bb54"/>
        <s v="8d472941-b5df-4f80-b3a6-ece0e6978e8a"/>
        <s v="99a8722a-ede3-4080-9d85-450687f17be6"/>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TD_Ventas_por_Categorias" cacheId="0" dataCaption="" compact="0" compactData="0">
  <location ref="A1:B6"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Ciudad" compact="0" outline="0" multipleItemSelectionAllowed="1" showAll="0">
      <items>
        <item x="0"/>
        <item x="1"/>
        <item x="2"/>
        <item x="3"/>
        <item x="4"/>
        <item x="5"/>
        <item x="6"/>
        <item x="7"/>
        <item t="default"/>
      </items>
    </pivotField>
    <pivotField name="Ciudad corregida" compact="0" outline="0" multipleItemSelectionAllowed="1" showAll="0">
      <items>
        <item x="0"/>
        <item x="1"/>
        <item x="2"/>
        <item x="3"/>
        <item x="4"/>
        <item x="5"/>
        <item x="6"/>
        <item t="default"/>
      </items>
    </pivotField>
    <pivotField name="Categoría"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Cantidad" dataField="1" compact="0" outline="0" multipleItemSelectionAllowed="1" showAll="0">
      <items>
        <item x="0"/>
        <item x="1"/>
        <item x="2"/>
        <item x="3"/>
        <item x="4"/>
        <item t="default"/>
      </items>
    </pivotField>
    <pivotField name="Monto total"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s>
  <rowFields>
    <field x="3"/>
  </rowFields>
  <dataFields>
    <dataField name="SUM of Cantidad" fld="7" baseField="0"/>
  </dataFields>
</pivotTableDefinition>
</file>

<file path=xl/pivotTables/pivotTable2.xml><?xml version="1.0" encoding="utf-8"?>
<pivotTableDefinition xmlns="http://schemas.openxmlformats.org/spreadsheetml/2006/main" name="TD_Ventas_por_Ciudad" cacheId="0" dataCaption="" compact="0" compactData="0">
  <location ref="A1:B9"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Ciudad" compact="0" outline="0" multipleItemSelectionAllowed="1" showAll="0">
      <items>
        <item x="0"/>
        <item x="1"/>
        <item x="2"/>
        <item x="3"/>
        <item x="4"/>
        <item x="5"/>
        <item x="6"/>
        <item x="7"/>
        <item t="default"/>
      </items>
    </pivotField>
    <pivotField name="Ciudad corregida"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Cantidad" compact="0" outline="0" multipleItemSelectionAllowed="1" showAll="0">
      <items>
        <item x="0"/>
        <item x="1"/>
        <item x="2"/>
        <item x="3"/>
        <item x="4"/>
        <item t="default"/>
      </items>
    </pivotField>
    <pivotField name="Monto total"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s>
  <rowFields>
    <field x="2"/>
  </rowFields>
  <dataFields>
    <dataField name="SUM of Monto total" fld="8" baseField="0"/>
  </dataFields>
</pivotTableDefinition>
</file>

<file path=xl/pivotTables/pivotTable3.xml><?xml version="1.0" encoding="utf-8"?>
<pivotTableDefinition xmlns="http://schemas.openxmlformats.org/spreadsheetml/2006/main" name="TD_Ventas_Mensuales" cacheId="1" dataCaption="" compact="0" compactData="0">
  <location ref="A1:B5" firstHeaderRow="0" firstDataRow="1" firstDataCol="0"/>
  <pivotFields>
    <pivotField name="Fecha de venta" axis="axisRow" compact="0" numFmtId="165" outline="0" multipleItemSelectionAllowed="1" showAll="0" sortType="descending">
      <items>
        <item x="0"/>
        <item x="1"/>
        <item x="2"/>
        <item x="3"/>
        <item x="4"/>
        <item x="5"/>
        <item x="6"/>
        <item x="7"/>
        <item x="8"/>
        <item x="9"/>
        <item x="10"/>
        <item x="11"/>
        <item x="12"/>
        <item x="13"/>
        <item t="default"/>
      </items>
      <autoSortScope>
        <pivotArea>
          <references>
            <reference field="4294967294">
              <x v="0"/>
            </reference>
          </references>
        </pivotArea>
      </autoSortScope>
    </pivotField>
    <pivotField name="Ciudad" compact="0" outline="0" multipleItemSelectionAllowed="1" showAll="0">
      <items>
        <item x="0"/>
        <item x="1"/>
        <item x="2"/>
        <item x="3"/>
        <item x="4"/>
        <item x="5"/>
        <item x="6"/>
        <item x="7"/>
        <item t="default"/>
      </items>
    </pivotField>
    <pivotField name="Ciudad corregida" compact="0" outline="0" multipleItemSelectionAllowed="1" showAll="0">
      <items>
        <item x="0"/>
        <item x="1"/>
        <item x="2"/>
        <item x="3"/>
        <item x="4"/>
        <item x="5"/>
        <item x="6"/>
        <item t="default"/>
      </items>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Cantidad" compact="0" outline="0" multipleItemSelectionAllowed="1" showAll="0">
      <items>
        <item x="0"/>
        <item x="1"/>
        <item x="2"/>
        <item x="3"/>
        <item x="4"/>
        <item t="default"/>
      </items>
    </pivotField>
    <pivotField name="Monto total"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s>
  <rowFields>
    <field x="0"/>
  </rowFields>
  <dataFields>
    <dataField name="SUM of Monto total" fld="8" baseField="0"/>
  </dataFields>
</pivotTableDefinition>
</file>

<file path=xl/pivotTables/pivotTable4.xml><?xml version="1.0" encoding="utf-8"?>
<pivotTableDefinition xmlns="http://schemas.openxmlformats.org/spreadsheetml/2006/main" name="TD_Promedio_Categoria" cacheId="2" dataCaption="" compact="0" compactData="0">
  <location ref="A1:B6"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Ciudad" compact="0" outline="0" multipleItemSelectionAllowed="1" showAll="0">
      <items>
        <item x="0"/>
        <item x="1"/>
        <item x="2"/>
        <item x="3"/>
        <item x="4"/>
        <item x="5"/>
        <item x="6"/>
        <item x="7"/>
        <item t="default"/>
      </items>
    </pivotField>
    <pivotField name="Ciudad corregida" compact="0" outline="0" multipleItemSelectionAllowed="1" showAll="0">
      <items>
        <item x="0"/>
        <item x="1"/>
        <item x="2"/>
        <item x="3"/>
        <item x="4"/>
        <item x="5"/>
        <item x="6"/>
        <item t="default"/>
      </items>
    </pivotField>
    <pivotField name="Categoría"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Cantidad" compact="0" outline="0" multipleItemSelectionAllowed="1" showAll="0">
      <items>
        <item x="0"/>
        <item x="1"/>
        <item x="2"/>
        <item x="3"/>
        <item x="4"/>
        <item t="default"/>
      </items>
    </pivotField>
    <pivotField name="Monto total"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3"/>
  </rowFields>
  <dataFields>
    <dataField name="AVERAGE of Precio unitario" fld="6"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pageSetUpPr/>
  </sheetPr>
  <sheetViews>
    <sheetView workbookViewId="0"/>
  </sheetViews>
  <sheetFormatPr customHeight="1" defaultColWidth="11.22" defaultRowHeight="15.0"/>
  <cols>
    <col customWidth="1" min="1" max="2" width="10.56"/>
    <col customWidth="1" min="3" max="3" width="11.33"/>
    <col customWidth="1" min="4" max="6" width="10.56"/>
    <col customWidth="1" min="7" max="7" width="17.11"/>
    <col customWidth="1" min="8" max="26" width="10.56"/>
  </cols>
  <sheetData>
    <row r="1" ht="15.75" customHeight="1">
      <c r="A1" s="1" t="s">
        <v>0</v>
      </c>
      <c r="B1" s="2" t="s">
        <v>1</v>
      </c>
      <c r="C1" s="2" t="s">
        <v>2</v>
      </c>
      <c r="D1" s="3" t="s">
        <v>3</v>
      </c>
      <c r="E1" s="2" t="s">
        <v>4</v>
      </c>
      <c r="F1" s="4" t="s">
        <v>5</v>
      </c>
      <c r="G1" s="2" t="s">
        <v>6</v>
      </c>
      <c r="H1" s="2" t="s">
        <v>7</v>
      </c>
      <c r="I1" s="2" t="s">
        <v>8</v>
      </c>
    </row>
    <row r="2" ht="15.75" customHeight="1">
      <c r="A2" s="1">
        <v>45566.0</v>
      </c>
      <c r="B2" s="2" t="s">
        <v>9</v>
      </c>
      <c r="C2" s="2" t="s">
        <v>10</v>
      </c>
      <c r="D2" s="5">
        <v>1339.17</v>
      </c>
      <c r="E2" s="5">
        <v>2.0</v>
      </c>
      <c r="F2" s="6">
        <v>2678.34</v>
      </c>
      <c r="G2" s="3" t="s">
        <v>11</v>
      </c>
      <c r="H2" s="2" t="s">
        <v>12</v>
      </c>
      <c r="I2" s="2" t="s">
        <v>13</v>
      </c>
    </row>
    <row r="3" ht="15.75" customHeight="1">
      <c r="A3" s="1">
        <v>45566.0</v>
      </c>
      <c r="B3" s="2" t="s">
        <v>14</v>
      </c>
      <c r="C3" s="2" t="s">
        <v>15</v>
      </c>
      <c r="D3" s="5">
        <v>716.29</v>
      </c>
      <c r="E3" s="5">
        <v>1.0</v>
      </c>
      <c r="F3" s="6">
        <v>716.29</v>
      </c>
      <c r="G3" s="2" t="s">
        <v>16</v>
      </c>
      <c r="H3" s="2" t="s">
        <v>17</v>
      </c>
      <c r="I3" s="2" t="s">
        <v>18</v>
      </c>
    </row>
    <row r="4" ht="15.75" customHeight="1">
      <c r="A4" s="1">
        <v>45568.0</v>
      </c>
      <c r="B4" s="2" t="s">
        <v>9</v>
      </c>
      <c r="C4" s="2" t="s">
        <v>15</v>
      </c>
      <c r="D4" s="5">
        <v>439.01</v>
      </c>
      <c r="E4" s="5">
        <v>5.0</v>
      </c>
      <c r="F4" s="6">
        <v>2195.05</v>
      </c>
      <c r="G4" s="3" t="s">
        <v>19</v>
      </c>
      <c r="H4" s="2" t="s">
        <v>20</v>
      </c>
      <c r="I4" s="2" t="s">
        <v>21</v>
      </c>
    </row>
    <row r="5" ht="15.75" customHeight="1">
      <c r="A5" s="1">
        <v>45568.0</v>
      </c>
      <c r="B5" s="2" t="s">
        <v>14</v>
      </c>
      <c r="C5" s="2" t="s">
        <v>22</v>
      </c>
      <c r="D5" s="5">
        <v>741.79</v>
      </c>
      <c r="E5" s="5">
        <v>2.0</v>
      </c>
      <c r="F5" s="6">
        <v>1483.58</v>
      </c>
      <c r="G5" s="2" t="s">
        <v>23</v>
      </c>
      <c r="H5" s="2" t="s">
        <v>24</v>
      </c>
      <c r="I5" s="2" t="s">
        <v>25</v>
      </c>
    </row>
    <row r="6" ht="15.75" customHeight="1">
      <c r="A6" s="1">
        <v>45568.0</v>
      </c>
      <c r="B6" s="2" t="s">
        <v>14</v>
      </c>
      <c r="C6" s="2" t="s">
        <v>10</v>
      </c>
      <c r="D6" s="5">
        <v>984.34</v>
      </c>
      <c r="E6" s="5">
        <v>3.0</v>
      </c>
      <c r="F6" s="6">
        <v>2953.02</v>
      </c>
      <c r="G6" s="3" t="s">
        <v>26</v>
      </c>
      <c r="H6" s="2" t="s">
        <v>27</v>
      </c>
      <c r="I6" s="2" t="s">
        <v>28</v>
      </c>
    </row>
    <row r="7" ht="15.75" customHeight="1">
      <c r="A7" s="1">
        <v>45568.0</v>
      </c>
      <c r="B7" s="3" t="s">
        <v>29</v>
      </c>
      <c r="C7" s="2" t="s">
        <v>30</v>
      </c>
      <c r="D7" s="5">
        <v>2419.81</v>
      </c>
      <c r="E7" s="5">
        <v>5.0</v>
      </c>
      <c r="F7" s="6">
        <v>12099.05</v>
      </c>
      <c r="G7" s="3" t="s">
        <v>31</v>
      </c>
      <c r="H7" s="2" t="s">
        <v>32</v>
      </c>
      <c r="I7" s="2" t="s">
        <v>33</v>
      </c>
    </row>
    <row r="8" ht="15.75" customHeight="1">
      <c r="A8" s="1">
        <v>45568.0</v>
      </c>
      <c r="B8" s="2" t="s">
        <v>34</v>
      </c>
      <c r="C8" s="2" t="s">
        <v>35</v>
      </c>
      <c r="D8" s="5">
        <v>145.9</v>
      </c>
      <c r="E8" s="5">
        <v>5.0</v>
      </c>
      <c r="F8" s="6">
        <v>729.5</v>
      </c>
      <c r="G8" s="2" t="s">
        <v>36</v>
      </c>
      <c r="H8" s="2" t="s">
        <v>37</v>
      </c>
      <c r="I8" s="2" t="s">
        <v>38</v>
      </c>
    </row>
    <row r="9" ht="15.75" customHeight="1">
      <c r="A9" s="1">
        <v>45569.0</v>
      </c>
      <c r="B9" s="3" t="s">
        <v>29</v>
      </c>
      <c r="C9" s="2" t="s">
        <v>39</v>
      </c>
      <c r="D9" s="5">
        <v>1086.48</v>
      </c>
      <c r="E9" s="5">
        <v>1.0</v>
      </c>
      <c r="F9" s="6">
        <v>1086.48</v>
      </c>
      <c r="G9" s="2" t="s">
        <v>40</v>
      </c>
      <c r="H9" s="2" t="s">
        <v>41</v>
      </c>
      <c r="I9" s="2" t="s">
        <v>42</v>
      </c>
    </row>
    <row r="10" ht="15.75" customHeight="1">
      <c r="A10" s="1">
        <v>45570.0</v>
      </c>
      <c r="B10" s="2" t="s">
        <v>9</v>
      </c>
      <c r="C10" s="2" t="s">
        <v>39</v>
      </c>
      <c r="D10" s="5">
        <v>1898.32</v>
      </c>
      <c r="E10" s="5">
        <v>4.0</v>
      </c>
      <c r="F10" s="6">
        <v>7593.28</v>
      </c>
      <c r="G10" s="2" t="s">
        <v>43</v>
      </c>
      <c r="H10" s="2" t="s">
        <v>44</v>
      </c>
      <c r="I10" s="2" t="s">
        <v>45</v>
      </c>
    </row>
    <row r="11" ht="15.75" customHeight="1">
      <c r="A11" s="1">
        <v>45571.0</v>
      </c>
      <c r="B11" s="2" t="s">
        <v>9</v>
      </c>
      <c r="C11" s="2" t="s">
        <v>10</v>
      </c>
      <c r="D11" s="5">
        <v>1280.61</v>
      </c>
      <c r="E11" s="5">
        <v>5.0</v>
      </c>
      <c r="F11" s="6">
        <v>6403.05</v>
      </c>
      <c r="G11" s="2" t="s">
        <v>46</v>
      </c>
      <c r="H11" s="2" t="s">
        <v>47</v>
      </c>
      <c r="I11" s="7" t="s">
        <v>48</v>
      </c>
    </row>
    <row r="12" ht="15.75" customHeight="1">
      <c r="A12" s="1">
        <v>45571.0</v>
      </c>
      <c r="B12" s="2" t="s">
        <v>34</v>
      </c>
      <c r="C12" s="2" t="s">
        <v>49</v>
      </c>
      <c r="D12" s="5">
        <v>1753.0</v>
      </c>
      <c r="E12" s="5">
        <v>5.0</v>
      </c>
      <c r="F12" s="6">
        <v>8765.0</v>
      </c>
      <c r="G12" s="2" t="s">
        <v>50</v>
      </c>
      <c r="H12" s="2" t="s">
        <v>51</v>
      </c>
      <c r="I12" s="2" t="s">
        <v>52</v>
      </c>
    </row>
    <row r="13" ht="15.75" customHeight="1">
      <c r="A13" s="1">
        <v>45572.0</v>
      </c>
      <c r="B13" s="3" t="s">
        <v>29</v>
      </c>
      <c r="C13" s="2" t="s">
        <v>53</v>
      </c>
      <c r="D13" s="5">
        <v>370.25</v>
      </c>
      <c r="E13" s="5">
        <v>4.0</v>
      </c>
      <c r="F13" s="6">
        <v>1481.0</v>
      </c>
      <c r="G13" s="2" t="s">
        <v>54</v>
      </c>
      <c r="H13" s="2" t="s">
        <v>55</v>
      </c>
      <c r="I13" s="2" t="s">
        <v>56</v>
      </c>
    </row>
    <row r="14" ht="15.75" customHeight="1">
      <c r="A14" s="1">
        <v>45572.0</v>
      </c>
      <c r="B14" s="2" t="s">
        <v>57</v>
      </c>
      <c r="C14" s="2" t="s">
        <v>58</v>
      </c>
      <c r="D14" s="5">
        <v>62.73</v>
      </c>
      <c r="E14" s="5">
        <v>3.0</v>
      </c>
      <c r="F14" s="6">
        <v>188.19</v>
      </c>
      <c r="G14" s="2" t="s">
        <v>59</v>
      </c>
      <c r="H14" s="2" t="s">
        <v>60</v>
      </c>
      <c r="I14" s="2" t="s">
        <v>61</v>
      </c>
    </row>
    <row r="15" ht="15.75" customHeight="1">
      <c r="A15" s="1">
        <v>45573.0</v>
      </c>
      <c r="B15" s="2" t="s">
        <v>34</v>
      </c>
      <c r="C15" s="2" t="s">
        <v>62</v>
      </c>
      <c r="D15" s="5">
        <v>2314.37</v>
      </c>
      <c r="E15" s="5">
        <v>5.0</v>
      </c>
      <c r="F15" s="6">
        <v>11571.85</v>
      </c>
      <c r="G15" s="2" t="s">
        <v>63</v>
      </c>
      <c r="H15" s="2" t="s">
        <v>64</v>
      </c>
      <c r="I15" s="2" t="s">
        <v>65</v>
      </c>
    </row>
    <row r="16" ht="15.75" customHeight="1">
      <c r="A16" s="1">
        <v>45573.0</v>
      </c>
      <c r="B16" s="2" t="s">
        <v>34</v>
      </c>
      <c r="C16" s="2" t="s">
        <v>66</v>
      </c>
      <c r="D16" s="5">
        <v>2168.25</v>
      </c>
      <c r="E16" s="5">
        <v>3.0</v>
      </c>
      <c r="F16" s="6">
        <v>6504.75</v>
      </c>
      <c r="G16" s="2" t="s">
        <v>67</v>
      </c>
      <c r="H16" s="2" t="s">
        <v>68</v>
      </c>
      <c r="I16" s="2" t="s">
        <v>69</v>
      </c>
    </row>
    <row r="17" ht="15.75" customHeight="1">
      <c r="A17" s="1">
        <v>45574.0</v>
      </c>
      <c r="B17" s="2" t="s">
        <v>14</v>
      </c>
      <c r="C17" s="2" t="s">
        <v>70</v>
      </c>
      <c r="D17" s="5">
        <v>120.46</v>
      </c>
      <c r="E17" s="5">
        <v>1.0</v>
      </c>
      <c r="F17" s="6">
        <v>120.46</v>
      </c>
      <c r="G17" s="2" t="s">
        <v>71</v>
      </c>
      <c r="H17" s="2" t="s">
        <v>72</v>
      </c>
      <c r="I17" s="2" t="s">
        <v>73</v>
      </c>
    </row>
    <row r="18" ht="15.75" customHeight="1">
      <c r="A18" s="1">
        <v>45574.0</v>
      </c>
      <c r="B18" s="2" t="s">
        <v>74</v>
      </c>
      <c r="C18" s="2" t="s">
        <v>75</v>
      </c>
      <c r="D18" s="5">
        <v>525.13</v>
      </c>
      <c r="E18" s="5">
        <v>2.0</v>
      </c>
      <c r="F18" s="6">
        <v>1050.26</v>
      </c>
      <c r="G18" s="2" t="s">
        <v>76</v>
      </c>
      <c r="H18" s="2" t="s">
        <v>77</v>
      </c>
      <c r="I18" s="2" t="s">
        <v>78</v>
      </c>
    </row>
    <row r="19" ht="15.75" customHeight="1">
      <c r="A19" s="1">
        <v>45575.0</v>
      </c>
      <c r="B19" s="3" t="s">
        <v>14</v>
      </c>
      <c r="C19" s="2" t="s">
        <v>79</v>
      </c>
      <c r="D19" s="5">
        <v>278.37</v>
      </c>
      <c r="E19" s="5">
        <v>3.0</v>
      </c>
      <c r="F19" s="6">
        <v>835.11</v>
      </c>
      <c r="G19" s="3" t="s">
        <v>80</v>
      </c>
      <c r="H19" s="2" t="s">
        <v>81</v>
      </c>
      <c r="I19" s="2" t="s">
        <v>82</v>
      </c>
    </row>
    <row r="20" ht="15.75" customHeight="1">
      <c r="A20" s="1">
        <v>45575.0</v>
      </c>
      <c r="B20" s="2" t="s">
        <v>34</v>
      </c>
      <c r="C20" s="2" t="s">
        <v>83</v>
      </c>
      <c r="D20" s="5">
        <v>157.57</v>
      </c>
      <c r="E20" s="5">
        <v>2.0</v>
      </c>
      <c r="F20" s="6">
        <v>315.14</v>
      </c>
      <c r="G20" s="2" t="s">
        <v>84</v>
      </c>
      <c r="H20" s="2" t="s">
        <v>85</v>
      </c>
      <c r="I20" s="2" t="s">
        <v>86</v>
      </c>
    </row>
    <row r="21" ht="15.75" customHeight="1">
      <c r="A21" s="1">
        <v>45575.0</v>
      </c>
      <c r="B21" s="2" t="s">
        <v>87</v>
      </c>
      <c r="C21" s="2" t="s">
        <v>88</v>
      </c>
      <c r="D21" s="5">
        <v>981.62</v>
      </c>
      <c r="E21" s="5">
        <v>5.0</v>
      </c>
      <c r="F21" s="6">
        <v>4908.1</v>
      </c>
      <c r="G21" s="2" t="s">
        <v>89</v>
      </c>
      <c r="H21" s="2" t="s">
        <v>90</v>
      </c>
      <c r="I21" s="2" t="s">
        <v>91</v>
      </c>
    </row>
    <row r="22" ht="15.75" customHeight="1">
      <c r="A22" s="1">
        <v>45575.0</v>
      </c>
      <c r="B22" s="3" t="s">
        <v>29</v>
      </c>
      <c r="C22" s="2" t="s">
        <v>92</v>
      </c>
      <c r="D22" s="5">
        <v>646.22</v>
      </c>
      <c r="E22" s="5">
        <v>2.0</v>
      </c>
      <c r="F22" s="6">
        <v>1292.44</v>
      </c>
      <c r="G22" s="2" t="s">
        <v>93</v>
      </c>
      <c r="H22" s="2" t="s">
        <v>94</v>
      </c>
      <c r="I22" s="2" t="s">
        <v>95</v>
      </c>
    </row>
    <row r="23" ht="15.75" customHeight="1">
      <c r="A23" s="1">
        <v>45575.0</v>
      </c>
      <c r="B23" s="2" t="s">
        <v>57</v>
      </c>
      <c r="C23" s="2" t="s">
        <v>35</v>
      </c>
      <c r="D23" s="5">
        <v>1848.98</v>
      </c>
      <c r="E23" s="5">
        <v>3.0</v>
      </c>
      <c r="F23" s="6">
        <v>5546.94</v>
      </c>
      <c r="G23" s="2" t="s">
        <v>96</v>
      </c>
      <c r="H23" s="2" t="s">
        <v>97</v>
      </c>
      <c r="I23" s="2" t="s">
        <v>98</v>
      </c>
    </row>
    <row r="24" ht="15.75" customHeight="1">
      <c r="A24" s="1">
        <v>45575.0</v>
      </c>
      <c r="B24" s="2" t="s">
        <v>74</v>
      </c>
      <c r="C24" s="2" t="s">
        <v>30</v>
      </c>
      <c r="D24" s="5">
        <v>1420.28</v>
      </c>
      <c r="E24" s="5">
        <v>4.0</v>
      </c>
      <c r="F24" s="6">
        <v>5681.12</v>
      </c>
      <c r="G24" s="2" t="s">
        <v>99</v>
      </c>
      <c r="H24" s="2" t="s">
        <v>100</v>
      </c>
      <c r="I24" s="2" t="s">
        <v>101</v>
      </c>
    </row>
    <row r="25" ht="15.75" customHeight="1">
      <c r="A25" s="1">
        <v>45576.0</v>
      </c>
      <c r="B25" s="2" t="s">
        <v>34</v>
      </c>
      <c r="C25" s="2" t="s">
        <v>70</v>
      </c>
      <c r="D25" s="5">
        <v>2208.12</v>
      </c>
      <c r="E25" s="5">
        <v>2.0</v>
      </c>
      <c r="F25" s="6">
        <v>4416.24</v>
      </c>
      <c r="G25" s="2" t="s">
        <v>102</v>
      </c>
      <c r="H25" s="2" t="s">
        <v>103</v>
      </c>
      <c r="I25" s="2" t="s">
        <v>104</v>
      </c>
    </row>
    <row r="26" ht="15.75" customHeight="1">
      <c r="A26" s="1">
        <v>45576.0</v>
      </c>
      <c r="B26" s="2" t="s">
        <v>34</v>
      </c>
      <c r="C26" s="2" t="s">
        <v>22</v>
      </c>
      <c r="D26" s="5">
        <v>591.94</v>
      </c>
      <c r="E26" s="5">
        <v>2.0</v>
      </c>
      <c r="F26" s="6">
        <v>1183.88</v>
      </c>
      <c r="G26" s="2" t="s">
        <v>105</v>
      </c>
      <c r="H26" s="2" t="s">
        <v>106</v>
      </c>
      <c r="I26" s="2" t="s">
        <v>107</v>
      </c>
    </row>
    <row r="27" ht="15.75" customHeight="1">
      <c r="A27" s="1">
        <v>45576.0</v>
      </c>
      <c r="B27" s="2" t="s">
        <v>9</v>
      </c>
      <c r="C27" s="2" t="s">
        <v>58</v>
      </c>
      <c r="D27" s="5">
        <v>1429.89</v>
      </c>
      <c r="E27" s="5">
        <v>4.0</v>
      </c>
      <c r="F27" s="6">
        <v>5719.56</v>
      </c>
      <c r="G27" s="2" t="s">
        <v>108</v>
      </c>
      <c r="H27" s="2" t="s">
        <v>109</v>
      </c>
      <c r="I27" s="2" t="s">
        <v>110</v>
      </c>
    </row>
    <row r="28" ht="15.75" customHeight="1">
      <c r="A28" s="1">
        <v>45576.0</v>
      </c>
      <c r="B28" s="2" t="s">
        <v>34</v>
      </c>
      <c r="C28" s="2" t="s">
        <v>39</v>
      </c>
      <c r="D28" s="5">
        <v>2085.29</v>
      </c>
      <c r="E28" s="5">
        <v>1.0</v>
      </c>
      <c r="F28" s="6">
        <v>2085.29</v>
      </c>
      <c r="G28" s="2" t="s">
        <v>111</v>
      </c>
      <c r="H28" s="2" t="s">
        <v>112</v>
      </c>
      <c r="I28" s="7" t="s">
        <v>113</v>
      </c>
    </row>
    <row r="29" ht="15.75" customHeight="1">
      <c r="A29" s="1">
        <v>45576.0</v>
      </c>
      <c r="B29" s="2" t="s">
        <v>114</v>
      </c>
      <c r="C29" s="2" t="s">
        <v>115</v>
      </c>
      <c r="D29" s="5">
        <v>724.28</v>
      </c>
      <c r="E29" s="5">
        <v>3.0</v>
      </c>
      <c r="F29" s="6">
        <v>2172.84</v>
      </c>
      <c r="G29" s="2" t="s">
        <v>116</v>
      </c>
      <c r="H29" s="2" t="s">
        <v>117</v>
      </c>
      <c r="I29" s="2" t="s">
        <v>118</v>
      </c>
    </row>
    <row r="30" ht="15.75" customHeight="1">
      <c r="A30" s="1">
        <v>45576.0</v>
      </c>
      <c r="B30" s="2" t="s">
        <v>74</v>
      </c>
      <c r="C30" s="2" t="s">
        <v>119</v>
      </c>
      <c r="D30" s="5">
        <v>1859.58</v>
      </c>
      <c r="E30" s="5">
        <v>3.0</v>
      </c>
      <c r="F30" s="6">
        <v>5578.74</v>
      </c>
      <c r="G30" s="2" t="s">
        <v>120</v>
      </c>
      <c r="H30" s="2" t="s">
        <v>121</v>
      </c>
      <c r="I30" s="2" t="s">
        <v>122</v>
      </c>
    </row>
    <row r="31" ht="15.75" customHeight="1">
      <c r="A31" s="1">
        <v>45576.0</v>
      </c>
      <c r="B31" s="2" t="s">
        <v>34</v>
      </c>
      <c r="C31" s="2" t="s">
        <v>123</v>
      </c>
      <c r="D31" s="5">
        <v>218.17</v>
      </c>
      <c r="E31" s="5">
        <v>4.0</v>
      </c>
      <c r="F31" s="6">
        <v>872.68</v>
      </c>
      <c r="G31" s="2" t="s">
        <v>124</v>
      </c>
      <c r="H31" s="2" t="s">
        <v>125</v>
      </c>
      <c r="I31" s="2" t="s">
        <v>126</v>
      </c>
    </row>
    <row r="32" ht="15.75" customHeight="1">
      <c r="A32" s="1">
        <v>45576.0</v>
      </c>
      <c r="B32" s="3" t="s">
        <v>29</v>
      </c>
      <c r="C32" s="2" t="s">
        <v>35</v>
      </c>
      <c r="D32" s="5">
        <v>1375.85</v>
      </c>
      <c r="E32" s="5">
        <v>1.0</v>
      </c>
      <c r="F32" s="6">
        <v>1375.85</v>
      </c>
      <c r="G32" s="2" t="s">
        <v>127</v>
      </c>
      <c r="H32" s="2" t="s">
        <v>128</v>
      </c>
      <c r="I32" s="2" t="s">
        <v>129</v>
      </c>
    </row>
    <row r="33" ht="15.75" customHeight="1">
      <c r="A33" s="1">
        <v>45576.0</v>
      </c>
      <c r="B33" s="2" t="s">
        <v>57</v>
      </c>
      <c r="C33" s="2" t="s">
        <v>130</v>
      </c>
      <c r="D33" s="5">
        <v>421.59</v>
      </c>
      <c r="E33" s="5">
        <v>2.0</v>
      </c>
      <c r="F33" s="6">
        <v>843.18</v>
      </c>
      <c r="G33" s="2" t="s">
        <v>131</v>
      </c>
      <c r="H33" s="2" t="s">
        <v>132</v>
      </c>
      <c r="I33" s="2" t="s">
        <v>133</v>
      </c>
    </row>
    <row r="34" ht="15.75" customHeight="1">
      <c r="A34" s="1">
        <v>45576.0</v>
      </c>
      <c r="B34" s="2" t="s">
        <v>9</v>
      </c>
      <c r="C34" s="2" t="s">
        <v>75</v>
      </c>
      <c r="D34" s="5">
        <v>2288.18</v>
      </c>
      <c r="E34" s="5">
        <v>1.0</v>
      </c>
      <c r="F34" s="6">
        <v>2288.18</v>
      </c>
      <c r="G34" s="2" t="s">
        <v>134</v>
      </c>
      <c r="H34" s="2" t="s">
        <v>135</v>
      </c>
      <c r="I34" s="2" t="s">
        <v>136</v>
      </c>
    </row>
    <row r="35" ht="15.75" customHeight="1">
      <c r="A35" s="1">
        <v>45576.0</v>
      </c>
      <c r="B35" s="2" t="s">
        <v>9</v>
      </c>
      <c r="C35" s="2" t="s">
        <v>137</v>
      </c>
      <c r="D35" s="5">
        <v>1699.32</v>
      </c>
      <c r="E35" s="5">
        <v>4.0</v>
      </c>
      <c r="F35" s="6">
        <v>6797.28</v>
      </c>
      <c r="G35" s="2" t="s">
        <v>138</v>
      </c>
      <c r="H35" s="2" t="s">
        <v>139</v>
      </c>
      <c r="I35" s="2" t="s">
        <v>140</v>
      </c>
    </row>
    <row r="36" ht="15.75" customHeight="1">
      <c r="A36" s="1">
        <v>45576.0</v>
      </c>
      <c r="B36" s="2" t="s">
        <v>74</v>
      </c>
      <c r="C36" s="2" t="s">
        <v>75</v>
      </c>
      <c r="D36" s="5">
        <v>1578.34</v>
      </c>
      <c r="E36" s="5">
        <v>3.0</v>
      </c>
      <c r="F36" s="6">
        <v>4735.02</v>
      </c>
      <c r="G36" s="2" t="s">
        <v>141</v>
      </c>
      <c r="H36" s="2" t="s">
        <v>142</v>
      </c>
      <c r="I36" s="2" t="s">
        <v>143</v>
      </c>
    </row>
    <row r="37" ht="15.75" customHeight="1">
      <c r="A37" s="1">
        <v>45577.0</v>
      </c>
      <c r="B37" s="2" t="s">
        <v>14</v>
      </c>
      <c r="C37" s="2" t="s">
        <v>144</v>
      </c>
      <c r="D37" s="5">
        <v>1445.1</v>
      </c>
      <c r="E37" s="5">
        <v>4.0</v>
      </c>
      <c r="F37" s="6">
        <v>5780.4</v>
      </c>
      <c r="G37" s="2" t="s">
        <v>145</v>
      </c>
      <c r="H37" s="2" t="s">
        <v>146</v>
      </c>
      <c r="I37" s="2" t="s">
        <v>147</v>
      </c>
    </row>
    <row r="38" ht="15.75" customHeight="1">
      <c r="A38" s="1">
        <v>45577.0</v>
      </c>
      <c r="B38" s="2" t="s">
        <v>57</v>
      </c>
      <c r="C38" s="2" t="s">
        <v>58</v>
      </c>
      <c r="D38" s="5">
        <v>1065.52</v>
      </c>
      <c r="E38" s="5">
        <v>2.0</v>
      </c>
      <c r="F38" s="6">
        <v>2131.04</v>
      </c>
      <c r="G38" s="2" t="s">
        <v>148</v>
      </c>
      <c r="H38" s="2" t="s">
        <v>149</v>
      </c>
      <c r="I38" s="2" t="s">
        <v>150</v>
      </c>
    </row>
    <row r="39" ht="15.75" customHeight="1">
      <c r="A39" s="1">
        <v>45577.0</v>
      </c>
      <c r="B39" s="3" t="s">
        <v>29</v>
      </c>
      <c r="C39" s="2" t="s">
        <v>151</v>
      </c>
      <c r="D39" s="5">
        <v>2095.66</v>
      </c>
      <c r="E39" s="5">
        <v>5.0</v>
      </c>
      <c r="F39" s="6">
        <v>10478.3</v>
      </c>
      <c r="G39" s="2" t="s">
        <v>152</v>
      </c>
      <c r="H39" s="2" t="s">
        <v>153</v>
      </c>
      <c r="I39" s="2" t="s">
        <v>154</v>
      </c>
    </row>
    <row r="40" ht="15.75" customHeight="1">
      <c r="A40" s="1">
        <v>45577.0</v>
      </c>
      <c r="B40" s="2" t="s">
        <v>57</v>
      </c>
      <c r="C40" s="2" t="s">
        <v>22</v>
      </c>
      <c r="D40" s="5">
        <v>2215.63</v>
      </c>
      <c r="E40" s="5">
        <v>3.0</v>
      </c>
      <c r="F40" s="6">
        <v>6646.89</v>
      </c>
      <c r="G40" s="2" t="s">
        <v>155</v>
      </c>
      <c r="H40" s="2" t="s">
        <v>156</v>
      </c>
      <c r="I40" s="2" t="s">
        <v>157</v>
      </c>
    </row>
    <row r="41" ht="15.75" customHeight="1">
      <c r="A41" s="1">
        <v>45577.0</v>
      </c>
      <c r="B41" s="2" t="s">
        <v>14</v>
      </c>
      <c r="C41" s="2" t="s">
        <v>66</v>
      </c>
      <c r="D41" s="5">
        <v>2395.85</v>
      </c>
      <c r="E41" s="5">
        <v>4.0</v>
      </c>
      <c r="F41" s="6">
        <v>9583.4</v>
      </c>
      <c r="G41" s="2" t="s">
        <v>158</v>
      </c>
      <c r="H41" s="2" t="s">
        <v>159</v>
      </c>
      <c r="I41" s="2" t="s">
        <v>160</v>
      </c>
    </row>
    <row r="42" ht="15.75" customHeight="1">
      <c r="A42" s="1">
        <v>45577.0</v>
      </c>
      <c r="B42" s="2" t="s">
        <v>57</v>
      </c>
      <c r="C42" s="2" t="s">
        <v>161</v>
      </c>
      <c r="D42" s="5">
        <v>883.61</v>
      </c>
      <c r="E42" s="5">
        <v>2.0</v>
      </c>
      <c r="F42" s="6">
        <v>1767.22</v>
      </c>
      <c r="G42" s="3" t="s">
        <v>162</v>
      </c>
      <c r="H42" s="2" t="s">
        <v>163</v>
      </c>
      <c r="I42" s="2" t="s">
        <v>164</v>
      </c>
    </row>
    <row r="43" ht="15.75" customHeight="1">
      <c r="A43" s="1">
        <v>45577.0</v>
      </c>
      <c r="B43" s="2" t="s">
        <v>74</v>
      </c>
      <c r="C43" s="2" t="s">
        <v>165</v>
      </c>
      <c r="D43" s="5">
        <v>1277.75</v>
      </c>
      <c r="E43" s="5">
        <v>1.0</v>
      </c>
      <c r="F43" s="6">
        <v>1277.75</v>
      </c>
      <c r="G43" s="2" t="s">
        <v>166</v>
      </c>
      <c r="H43" s="2" t="s">
        <v>167</v>
      </c>
      <c r="I43" s="2" t="s">
        <v>168</v>
      </c>
    </row>
    <row r="44" ht="15.75" customHeight="1">
      <c r="A44" s="1">
        <v>45577.0</v>
      </c>
      <c r="B44" s="2" t="s">
        <v>57</v>
      </c>
      <c r="C44" s="2" t="s">
        <v>169</v>
      </c>
      <c r="D44" s="5">
        <v>2182.77</v>
      </c>
      <c r="E44" s="5">
        <v>3.0</v>
      </c>
      <c r="F44" s="6">
        <v>6548.31</v>
      </c>
      <c r="G44" s="2" t="s">
        <v>170</v>
      </c>
      <c r="H44" s="2" t="s">
        <v>171</v>
      </c>
      <c r="I44" s="2" t="s">
        <v>172</v>
      </c>
    </row>
    <row r="45" ht="15.75" customHeight="1">
      <c r="A45" s="1">
        <v>45577.0</v>
      </c>
      <c r="B45" s="2" t="s">
        <v>14</v>
      </c>
      <c r="C45" s="2" t="s">
        <v>58</v>
      </c>
      <c r="D45" s="5">
        <v>1163.04</v>
      </c>
      <c r="E45" s="5">
        <v>1.0</v>
      </c>
      <c r="F45" s="6">
        <v>1163.04</v>
      </c>
      <c r="G45" s="2" t="s">
        <v>173</v>
      </c>
      <c r="H45" s="2" t="s">
        <v>174</v>
      </c>
      <c r="I45" s="2" t="s">
        <v>175</v>
      </c>
    </row>
    <row r="46" ht="15.75" customHeight="1">
      <c r="A46" s="1">
        <v>45578.0</v>
      </c>
      <c r="B46" s="2" t="s">
        <v>9</v>
      </c>
      <c r="C46" s="2" t="s">
        <v>92</v>
      </c>
      <c r="D46" s="5">
        <v>1664.18</v>
      </c>
      <c r="E46" s="5">
        <v>3.0</v>
      </c>
      <c r="F46" s="6">
        <v>4992.54</v>
      </c>
      <c r="G46" s="2" t="s">
        <v>176</v>
      </c>
      <c r="H46" s="2" t="s">
        <v>177</v>
      </c>
      <c r="I46" s="2" t="s">
        <v>178</v>
      </c>
    </row>
    <row r="47" ht="15.75" customHeight="1">
      <c r="A47" s="1">
        <v>45578.0</v>
      </c>
      <c r="B47" s="2" t="s">
        <v>74</v>
      </c>
      <c r="C47" s="2" t="s">
        <v>179</v>
      </c>
      <c r="D47" s="5">
        <v>992.68</v>
      </c>
      <c r="E47" s="5">
        <v>5.0</v>
      </c>
      <c r="F47" s="6">
        <v>4963.4</v>
      </c>
      <c r="G47" s="2" t="s">
        <v>180</v>
      </c>
      <c r="H47" s="2" t="s">
        <v>181</v>
      </c>
      <c r="I47" s="2" t="s">
        <v>182</v>
      </c>
    </row>
    <row r="48" ht="15.75" customHeight="1">
      <c r="A48" s="1">
        <v>45578.0</v>
      </c>
      <c r="B48" s="2" t="s">
        <v>57</v>
      </c>
      <c r="C48" s="2" t="s">
        <v>183</v>
      </c>
      <c r="D48" s="5">
        <v>284.79</v>
      </c>
      <c r="E48" s="5">
        <v>5.0</v>
      </c>
      <c r="F48" s="6">
        <v>1423.95</v>
      </c>
      <c r="G48" s="2" t="s">
        <v>184</v>
      </c>
      <c r="H48" s="2" t="s">
        <v>185</v>
      </c>
      <c r="I48" s="2" t="s">
        <v>186</v>
      </c>
    </row>
    <row r="49" ht="15.75" customHeight="1">
      <c r="A49" s="1">
        <v>45578.0</v>
      </c>
      <c r="B49" s="2" t="s">
        <v>9</v>
      </c>
      <c r="C49" s="2" t="s">
        <v>187</v>
      </c>
      <c r="D49" s="2"/>
      <c r="E49" s="5">
        <v>3.0</v>
      </c>
      <c r="F49" s="6">
        <v>1086.51</v>
      </c>
      <c r="G49" s="2" t="s">
        <v>188</v>
      </c>
      <c r="H49" s="2" t="s">
        <v>189</v>
      </c>
      <c r="I49" s="2" t="s">
        <v>190</v>
      </c>
    </row>
    <row r="50" ht="15.75" customHeight="1">
      <c r="A50" s="1">
        <v>45578.0</v>
      </c>
      <c r="B50" s="2" t="s">
        <v>57</v>
      </c>
      <c r="C50" s="2" t="s">
        <v>53</v>
      </c>
      <c r="D50" s="5">
        <v>1274.8</v>
      </c>
      <c r="E50" s="5">
        <v>5.0</v>
      </c>
      <c r="F50" s="6">
        <v>6374.0</v>
      </c>
      <c r="G50" s="2" t="s">
        <v>191</v>
      </c>
      <c r="H50" s="2" t="s">
        <v>192</v>
      </c>
      <c r="I50" s="2" t="s">
        <v>193</v>
      </c>
    </row>
    <row r="51" ht="15.75" customHeight="1">
      <c r="A51" s="1">
        <v>45578.0</v>
      </c>
      <c r="B51" s="2" t="s">
        <v>57</v>
      </c>
      <c r="C51" s="2" t="s">
        <v>35</v>
      </c>
      <c r="D51" s="5">
        <v>233.85</v>
      </c>
      <c r="E51" s="5">
        <v>4.0</v>
      </c>
      <c r="F51" s="6">
        <v>935.4</v>
      </c>
      <c r="G51" s="2" t="s">
        <v>194</v>
      </c>
      <c r="H51" s="2" t="s">
        <v>195</v>
      </c>
      <c r="I51" s="2" t="s">
        <v>196</v>
      </c>
    </row>
    <row r="52" ht="15.75" customHeight="1">
      <c r="A52" s="1">
        <v>45578.0</v>
      </c>
      <c r="B52" s="3" t="s">
        <v>29</v>
      </c>
      <c r="C52" s="2" t="s">
        <v>15</v>
      </c>
      <c r="D52" s="5">
        <v>142.14</v>
      </c>
      <c r="E52" s="5">
        <v>3.0</v>
      </c>
      <c r="F52" s="6">
        <v>426.42</v>
      </c>
      <c r="G52" s="2" t="s">
        <v>197</v>
      </c>
      <c r="H52" s="2" t="s">
        <v>198</v>
      </c>
      <c r="I52" s="2" t="s">
        <v>199</v>
      </c>
    </row>
    <row r="53" ht="15.75" customHeight="1">
      <c r="A53" s="1">
        <v>45578.0</v>
      </c>
      <c r="B53" s="2" t="s">
        <v>34</v>
      </c>
      <c r="C53" s="2" t="s">
        <v>119</v>
      </c>
      <c r="D53" s="5">
        <v>226.52</v>
      </c>
      <c r="E53" s="5">
        <v>2.0</v>
      </c>
      <c r="F53" s="6">
        <v>453.04</v>
      </c>
      <c r="G53" s="2" t="s">
        <v>200</v>
      </c>
      <c r="H53" s="2" t="s">
        <v>201</v>
      </c>
      <c r="I53" s="2" t="s">
        <v>202</v>
      </c>
    </row>
    <row r="54" ht="15.75" customHeight="1">
      <c r="A54" s="1">
        <v>45578.0</v>
      </c>
      <c r="B54" s="3" t="s">
        <v>29</v>
      </c>
      <c r="C54" s="2" t="s">
        <v>75</v>
      </c>
      <c r="D54" s="5">
        <v>1922.79</v>
      </c>
      <c r="E54" s="5">
        <v>3.0</v>
      </c>
      <c r="F54" s="6">
        <v>5768.37</v>
      </c>
      <c r="G54" s="2" t="s">
        <v>203</v>
      </c>
      <c r="H54" s="2" t="s">
        <v>204</v>
      </c>
      <c r="I54" s="2" t="s">
        <v>205</v>
      </c>
    </row>
    <row r="55" ht="15.75" customHeight="1">
      <c r="A55" s="1">
        <v>45578.0</v>
      </c>
      <c r="B55" s="2" t="s">
        <v>14</v>
      </c>
      <c r="C55" s="2" t="s">
        <v>130</v>
      </c>
      <c r="D55" s="2"/>
      <c r="E55" s="5">
        <v>2.0</v>
      </c>
      <c r="F55" s="6">
        <v>4429.96</v>
      </c>
      <c r="G55" s="2" t="s">
        <v>206</v>
      </c>
      <c r="H55" s="2" t="s">
        <v>207</v>
      </c>
      <c r="I55" s="2" t="s">
        <v>208</v>
      </c>
    </row>
    <row r="56" ht="15.75" customHeight="1">
      <c r="A56" s="1">
        <v>45579.0</v>
      </c>
      <c r="B56" s="2" t="s">
        <v>14</v>
      </c>
      <c r="C56" s="2" t="s">
        <v>187</v>
      </c>
      <c r="D56" s="5">
        <v>120.94</v>
      </c>
      <c r="E56" s="5">
        <v>3.0</v>
      </c>
      <c r="F56" s="4"/>
      <c r="G56" s="2" t="s">
        <v>209</v>
      </c>
      <c r="H56" s="2" t="s">
        <v>210</v>
      </c>
      <c r="I56" s="2" t="s">
        <v>211</v>
      </c>
    </row>
    <row r="57" ht="15.75" customHeight="1">
      <c r="A57" s="1">
        <v>45579.0</v>
      </c>
      <c r="B57" s="2" t="s">
        <v>34</v>
      </c>
      <c r="C57" s="2" t="s">
        <v>92</v>
      </c>
      <c r="D57" s="5">
        <v>1950.45</v>
      </c>
      <c r="E57" s="5">
        <v>4.0</v>
      </c>
      <c r="F57" s="6">
        <v>7801.8</v>
      </c>
      <c r="G57" s="2" t="s">
        <v>212</v>
      </c>
      <c r="H57" s="2" t="s">
        <v>213</v>
      </c>
      <c r="I57" s="2" t="s">
        <v>214</v>
      </c>
    </row>
    <row r="58" ht="15.75" customHeight="1">
      <c r="A58" s="1">
        <v>45579.0</v>
      </c>
      <c r="B58" s="2" t="s">
        <v>14</v>
      </c>
      <c r="C58" s="2" t="s">
        <v>215</v>
      </c>
      <c r="D58" s="5">
        <v>2092.55</v>
      </c>
      <c r="E58" s="5">
        <v>5.0</v>
      </c>
      <c r="F58" s="6">
        <v>10462.75</v>
      </c>
      <c r="G58" s="2" t="s">
        <v>216</v>
      </c>
      <c r="H58" s="2" t="s">
        <v>217</v>
      </c>
      <c r="I58" s="2" t="s">
        <v>218</v>
      </c>
    </row>
    <row r="59" ht="15.75" customHeight="1">
      <c r="A59" s="1">
        <v>45579.0</v>
      </c>
      <c r="B59" s="2" t="s">
        <v>34</v>
      </c>
      <c r="C59" s="2" t="s">
        <v>10</v>
      </c>
      <c r="D59" s="5">
        <v>214.72</v>
      </c>
      <c r="E59" s="5">
        <v>3.0</v>
      </c>
      <c r="F59" s="6">
        <v>644.16</v>
      </c>
      <c r="G59" s="2" t="s">
        <v>219</v>
      </c>
      <c r="H59" s="2" t="s">
        <v>220</v>
      </c>
      <c r="I59" s="2" t="s">
        <v>221</v>
      </c>
    </row>
    <row r="60" ht="15.75" customHeight="1">
      <c r="A60" s="1">
        <v>45579.0</v>
      </c>
      <c r="B60" s="2" t="s">
        <v>57</v>
      </c>
      <c r="C60" s="2" t="s">
        <v>222</v>
      </c>
      <c r="D60" s="5">
        <v>1291.39</v>
      </c>
      <c r="E60" s="5">
        <v>3.0</v>
      </c>
      <c r="F60" s="6">
        <v>3874.17</v>
      </c>
      <c r="G60" s="2" t="s">
        <v>223</v>
      </c>
      <c r="H60" s="2" t="s">
        <v>224</v>
      </c>
      <c r="I60" s="2" t="s">
        <v>225</v>
      </c>
    </row>
    <row r="61" ht="15.75" customHeight="1">
      <c r="A61" s="1">
        <v>45579.0</v>
      </c>
      <c r="B61" s="3" t="s">
        <v>29</v>
      </c>
      <c r="C61" s="2" t="s">
        <v>226</v>
      </c>
      <c r="D61" s="5">
        <v>970.38</v>
      </c>
      <c r="E61" s="5">
        <v>5.0</v>
      </c>
      <c r="F61" s="6">
        <v>4851.9</v>
      </c>
      <c r="G61" s="2" t="s">
        <v>227</v>
      </c>
      <c r="H61" s="2" t="s">
        <v>228</v>
      </c>
      <c r="I61" s="2" t="s">
        <v>229</v>
      </c>
    </row>
    <row r="62" ht="15.75" customHeight="1">
      <c r="A62" s="1">
        <v>45579.0</v>
      </c>
      <c r="B62" s="2" t="s">
        <v>74</v>
      </c>
      <c r="C62" s="2" t="s">
        <v>230</v>
      </c>
      <c r="D62" s="5">
        <v>2101.48</v>
      </c>
      <c r="E62" s="5">
        <v>2.0</v>
      </c>
      <c r="F62" s="6">
        <v>4202.96</v>
      </c>
      <c r="G62" s="2" t="s">
        <v>231</v>
      </c>
      <c r="H62" s="2" t="s">
        <v>232</v>
      </c>
      <c r="I62" s="2" t="s">
        <v>233</v>
      </c>
    </row>
    <row r="63" ht="15.75" customHeight="1">
      <c r="A63" s="1">
        <v>45579.0</v>
      </c>
      <c r="B63" s="2" t="s">
        <v>14</v>
      </c>
      <c r="C63" s="2" t="s">
        <v>62</v>
      </c>
      <c r="D63" s="5">
        <v>302.84</v>
      </c>
      <c r="E63" s="5">
        <v>3.0</v>
      </c>
      <c r="F63" s="6">
        <v>908.52</v>
      </c>
      <c r="G63" s="2" t="s">
        <v>234</v>
      </c>
      <c r="H63" s="2" t="s">
        <v>235</v>
      </c>
      <c r="I63" s="2" t="s">
        <v>236</v>
      </c>
    </row>
    <row r="64" ht="15.75" customHeight="1">
      <c r="A64" s="1">
        <v>45579.0</v>
      </c>
      <c r="B64" s="2" t="s">
        <v>9</v>
      </c>
      <c r="C64" s="2" t="s">
        <v>15</v>
      </c>
      <c r="D64" s="5">
        <v>1421.57</v>
      </c>
      <c r="E64" s="5">
        <v>4.0</v>
      </c>
      <c r="F64" s="6">
        <v>5686.28</v>
      </c>
      <c r="G64" s="2" t="s">
        <v>237</v>
      </c>
      <c r="H64" s="2" t="s">
        <v>238</v>
      </c>
      <c r="I64" s="2" t="s">
        <v>239</v>
      </c>
    </row>
    <row r="65" ht="15.75" customHeight="1">
      <c r="A65" s="1">
        <v>45579.0</v>
      </c>
      <c r="B65" s="2" t="s">
        <v>9</v>
      </c>
      <c r="C65" s="2" t="s">
        <v>92</v>
      </c>
      <c r="D65" s="5">
        <v>1037.64</v>
      </c>
      <c r="E65" s="5">
        <v>3.0</v>
      </c>
      <c r="F65" s="6">
        <v>3112.92</v>
      </c>
      <c r="G65" s="2" t="s">
        <v>240</v>
      </c>
      <c r="H65" s="2" t="s">
        <v>241</v>
      </c>
      <c r="I65" s="7" t="s">
        <v>242</v>
      </c>
    </row>
    <row r="66" ht="15.75" customHeight="1">
      <c r="A66" s="1">
        <v>45579.0</v>
      </c>
      <c r="B66" s="2" t="s">
        <v>9</v>
      </c>
      <c r="C66" s="2" t="s">
        <v>137</v>
      </c>
      <c r="D66" s="5">
        <v>579.54</v>
      </c>
      <c r="E66" s="5">
        <v>3.0</v>
      </c>
      <c r="F66" s="6">
        <v>1738.62</v>
      </c>
      <c r="G66" s="2" t="s">
        <v>243</v>
      </c>
      <c r="H66" s="2" t="s">
        <v>244</v>
      </c>
      <c r="I66" s="2" t="s">
        <v>245</v>
      </c>
    </row>
    <row r="67" ht="15.75" customHeight="1">
      <c r="A67" s="1">
        <v>45579.0</v>
      </c>
      <c r="B67" s="2" t="s">
        <v>34</v>
      </c>
      <c r="C67" s="2" t="s">
        <v>179</v>
      </c>
      <c r="D67" s="5">
        <v>796.49</v>
      </c>
      <c r="E67" s="5">
        <v>3.0</v>
      </c>
      <c r="F67" s="6">
        <v>2389.47</v>
      </c>
      <c r="G67" s="2" t="s">
        <v>246</v>
      </c>
      <c r="H67" s="2" t="s">
        <v>247</v>
      </c>
      <c r="I67" s="2" t="s">
        <v>248</v>
      </c>
    </row>
    <row r="68" ht="15.75" customHeight="1">
      <c r="A68" s="1">
        <v>45579.0</v>
      </c>
      <c r="B68" s="2" t="s">
        <v>14</v>
      </c>
      <c r="C68" s="2" t="s">
        <v>123</v>
      </c>
      <c r="D68" s="5">
        <v>1838.04</v>
      </c>
      <c r="E68" s="5">
        <v>4.0</v>
      </c>
      <c r="F68" s="6">
        <v>7352.16</v>
      </c>
      <c r="G68" s="2" t="s">
        <v>249</v>
      </c>
      <c r="H68" s="2" t="s">
        <v>250</v>
      </c>
      <c r="I68" s="2" t="s">
        <v>251</v>
      </c>
    </row>
    <row r="69" ht="15.75" customHeight="1">
      <c r="A69" s="1">
        <v>45580.0</v>
      </c>
      <c r="B69" s="2" t="s">
        <v>14</v>
      </c>
      <c r="C69" s="2" t="s">
        <v>252</v>
      </c>
      <c r="D69" s="5">
        <v>1090.69</v>
      </c>
      <c r="E69" s="5">
        <v>1.0</v>
      </c>
      <c r="F69" s="6">
        <v>1090.69</v>
      </c>
      <c r="G69" s="2" t="s">
        <v>253</v>
      </c>
      <c r="H69" s="2" t="s">
        <v>254</v>
      </c>
      <c r="I69" s="2" t="s">
        <v>255</v>
      </c>
    </row>
    <row r="70" ht="15.75" customHeight="1">
      <c r="A70" s="1">
        <v>45580.0</v>
      </c>
      <c r="B70" s="2" t="s">
        <v>9</v>
      </c>
      <c r="C70" s="2" t="s">
        <v>256</v>
      </c>
      <c r="D70" s="5">
        <v>882.55</v>
      </c>
      <c r="E70" s="5">
        <v>5.0</v>
      </c>
      <c r="F70" s="6">
        <v>4412.75</v>
      </c>
      <c r="G70" s="2" t="s">
        <v>257</v>
      </c>
      <c r="H70" s="2" t="s">
        <v>258</v>
      </c>
      <c r="I70" s="2" t="s">
        <v>259</v>
      </c>
    </row>
    <row r="71" ht="15.75" customHeight="1">
      <c r="A71" s="1">
        <v>45580.0</v>
      </c>
      <c r="B71" s="3" t="s">
        <v>29</v>
      </c>
      <c r="C71" s="2" t="s">
        <v>35</v>
      </c>
      <c r="D71" s="5">
        <v>1909.2</v>
      </c>
      <c r="E71" s="5">
        <v>3.0</v>
      </c>
      <c r="F71" s="6">
        <v>5727.6</v>
      </c>
      <c r="G71" s="2" t="s">
        <v>260</v>
      </c>
      <c r="H71" s="2" t="s">
        <v>261</v>
      </c>
      <c r="I71" s="2" t="s">
        <v>262</v>
      </c>
    </row>
    <row r="72" ht="15.75" customHeight="1">
      <c r="A72" s="1">
        <v>45580.0</v>
      </c>
      <c r="B72" s="3" t="s">
        <v>29</v>
      </c>
      <c r="C72" s="2" t="s">
        <v>49</v>
      </c>
      <c r="D72" s="5">
        <v>2381.87</v>
      </c>
      <c r="E72" s="5">
        <v>1.0</v>
      </c>
      <c r="F72" s="6">
        <v>2381.87</v>
      </c>
      <c r="G72" s="2" t="s">
        <v>263</v>
      </c>
      <c r="H72" s="2" t="s">
        <v>264</v>
      </c>
      <c r="I72" s="2" t="s">
        <v>265</v>
      </c>
    </row>
    <row r="73" ht="15.75" customHeight="1">
      <c r="A73" s="1">
        <v>45580.0</v>
      </c>
      <c r="B73" s="2" t="s">
        <v>34</v>
      </c>
      <c r="C73" s="2" t="s">
        <v>179</v>
      </c>
      <c r="D73" s="5">
        <v>68.0</v>
      </c>
      <c r="E73" s="5">
        <v>3.0</v>
      </c>
      <c r="F73" s="6">
        <v>204.0</v>
      </c>
      <c r="G73" s="2" t="s">
        <v>266</v>
      </c>
      <c r="H73" s="2" t="s">
        <v>267</v>
      </c>
      <c r="I73" s="2" t="s">
        <v>268</v>
      </c>
    </row>
    <row r="74" ht="15.75" customHeight="1">
      <c r="A74" s="1">
        <v>45580.0</v>
      </c>
      <c r="B74" s="2" t="s">
        <v>74</v>
      </c>
      <c r="C74" s="2" t="s">
        <v>269</v>
      </c>
      <c r="D74" s="5">
        <v>571.73</v>
      </c>
      <c r="E74" s="5">
        <v>4.0</v>
      </c>
      <c r="F74" s="6">
        <v>2286.92</v>
      </c>
      <c r="G74" s="2" t="s">
        <v>270</v>
      </c>
      <c r="H74" s="2" t="s">
        <v>271</v>
      </c>
      <c r="I74" s="2" t="s">
        <v>272</v>
      </c>
    </row>
    <row r="75" ht="15.75" customHeight="1">
      <c r="A75" s="1">
        <v>45580.0</v>
      </c>
      <c r="B75" s="2" t="s">
        <v>14</v>
      </c>
      <c r="C75" s="2" t="s">
        <v>15</v>
      </c>
      <c r="D75" s="5">
        <v>2009.75</v>
      </c>
      <c r="E75" s="5">
        <v>2.0</v>
      </c>
      <c r="F75" s="6">
        <v>4019.5</v>
      </c>
      <c r="G75" s="2" t="s">
        <v>273</v>
      </c>
      <c r="H75" s="2" t="s">
        <v>274</v>
      </c>
      <c r="I75" s="2" t="s">
        <v>275</v>
      </c>
    </row>
    <row r="76" ht="15.75" customHeight="1">
      <c r="A76" s="1">
        <v>45580.0</v>
      </c>
      <c r="B76" s="2" t="s">
        <v>57</v>
      </c>
      <c r="C76" s="2" t="s">
        <v>70</v>
      </c>
      <c r="D76" s="5">
        <v>2289.42</v>
      </c>
      <c r="E76" s="5">
        <v>4.0</v>
      </c>
      <c r="F76" s="6">
        <v>9157.68</v>
      </c>
      <c r="G76" s="2" t="s">
        <v>276</v>
      </c>
      <c r="H76" s="2" t="s">
        <v>277</v>
      </c>
      <c r="I76" s="2" t="s">
        <v>278</v>
      </c>
    </row>
    <row r="77" ht="15.75" customHeight="1">
      <c r="A77" s="1">
        <v>45580.0</v>
      </c>
      <c r="B77" s="2" t="s">
        <v>9</v>
      </c>
      <c r="C77" s="2" t="s">
        <v>279</v>
      </c>
      <c r="D77" s="5">
        <v>1414.97</v>
      </c>
      <c r="E77" s="5">
        <v>1.0</v>
      </c>
      <c r="F77" s="6">
        <v>1414.97</v>
      </c>
      <c r="G77" s="2" t="s">
        <v>280</v>
      </c>
      <c r="H77" s="2" t="s">
        <v>281</v>
      </c>
      <c r="I77" s="2" t="s">
        <v>282</v>
      </c>
    </row>
    <row r="78" ht="15.75" customHeight="1">
      <c r="A78" s="1">
        <v>45580.0</v>
      </c>
      <c r="B78" s="2" t="s">
        <v>74</v>
      </c>
      <c r="C78" s="2" t="s">
        <v>187</v>
      </c>
      <c r="D78" s="5">
        <v>2332.8</v>
      </c>
      <c r="E78" s="5">
        <v>1.0</v>
      </c>
      <c r="F78" s="6">
        <v>2332.8</v>
      </c>
      <c r="G78" s="2" t="s">
        <v>283</v>
      </c>
      <c r="H78" s="2" t="s">
        <v>284</v>
      </c>
      <c r="I78" s="2" t="s">
        <v>285</v>
      </c>
    </row>
    <row r="79" ht="15.75" customHeight="1">
      <c r="A79" s="1">
        <v>45580.0</v>
      </c>
      <c r="B79" s="2" t="s">
        <v>74</v>
      </c>
      <c r="C79" s="2" t="s">
        <v>83</v>
      </c>
      <c r="D79" s="5">
        <v>379.5</v>
      </c>
      <c r="E79" s="5">
        <v>4.0</v>
      </c>
      <c r="F79" s="6">
        <v>1518.0</v>
      </c>
      <c r="G79" s="2" t="s">
        <v>286</v>
      </c>
      <c r="H79" s="2" t="s">
        <v>287</v>
      </c>
      <c r="I79" s="2" t="s">
        <v>288</v>
      </c>
    </row>
    <row r="80" ht="15.75" customHeight="1">
      <c r="A80" s="1">
        <v>45580.0</v>
      </c>
      <c r="B80" s="2" t="s">
        <v>9</v>
      </c>
      <c r="C80" s="2" t="s">
        <v>289</v>
      </c>
      <c r="D80" s="5">
        <v>2020.01</v>
      </c>
      <c r="E80" s="5">
        <v>5.0</v>
      </c>
      <c r="F80" s="6">
        <v>10100.05</v>
      </c>
      <c r="G80" s="2" t="s">
        <v>290</v>
      </c>
      <c r="H80" s="2" t="s">
        <v>291</v>
      </c>
      <c r="I80" s="2" t="s">
        <v>292</v>
      </c>
    </row>
    <row r="81" ht="15.75" customHeight="1">
      <c r="A81" s="1">
        <v>45580.0</v>
      </c>
      <c r="B81" s="2" t="s">
        <v>9</v>
      </c>
      <c r="C81" s="2" t="s">
        <v>15</v>
      </c>
      <c r="D81" s="5">
        <v>428.56</v>
      </c>
      <c r="E81" s="5">
        <v>1.0</v>
      </c>
      <c r="F81" s="6">
        <v>428.56</v>
      </c>
      <c r="G81" s="2" t="s">
        <v>293</v>
      </c>
      <c r="H81" s="2" t="s">
        <v>294</v>
      </c>
      <c r="I81" s="2" t="s">
        <v>295</v>
      </c>
    </row>
    <row r="82" ht="15.75" customHeight="1">
      <c r="A82" s="1">
        <v>45580.0</v>
      </c>
      <c r="B82" s="2" t="s">
        <v>74</v>
      </c>
      <c r="C82" s="2" t="s">
        <v>22</v>
      </c>
      <c r="D82" s="5">
        <v>1966.38</v>
      </c>
      <c r="E82" s="5">
        <v>5.0</v>
      </c>
      <c r="F82" s="6">
        <v>9831.9</v>
      </c>
      <c r="G82" s="2" t="s">
        <v>296</v>
      </c>
      <c r="H82" s="2" t="s">
        <v>297</v>
      </c>
      <c r="I82" s="2" t="s">
        <v>298</v>
      </c>
    </row>
    <row r="83" ht="15.75" customHeight="1">
      <c r="A83" s="1">
        <v>45580.0</v>
      </c>
      <c r="B83" s="2" t="s">
        <v>34</v>
      </c>
      <c r="C83" s="2" t="s">
        <v>53</v>
      </c>
      <c r="D83" s="5">
        <v>2242.47</v>
      </c>
      <c r="E83" s="5">
        <v>4.0</v>
      </c>
      <c r="F83" s="6">
        <v>8969.88</v>
      </c>
      <c r="G83" s="2" t="s">
        <v>299</v>
      </c>
      <c r="H83" s="2" t="s">
        <v>300</v>
      </c>
      <c r="I83" s="2" t="s">
        <v>301</v>
      </c>
    </row>
    <row r="84" ht="15.75" customHeight="1">
      <c r="A84" s="1">
        <v>45580.0</v>
      </c>
      <c r="B84" s="2" t="s">
        <v>34</v>
      </c>
      <c r="C84" s="2" t="s">
        <v>66</v>
      </c>
      <c r="D84" s="5">
        <v>1896.1</v>
      </c>
      <c r="E84" s="5">
        <v>2.0</v>
      </c>
      <c r="F84" s="6">
        <v>3792.2</v>
      </c>
      <c r="G84" s="2" t="s">
        <v>302</v>
      </c>
      <c r="H84" s="2" t="s">
        <v>303</v>
      </c>
      <c r="I84" s="2" t="s">
        <v>304</v>
      </c>
    </row>
    <row r="85" ht="15.75" customHeight="1">
      <c r="A85" s="1">
        <v>45580.0</v>
      </c>
      <c r="B85" s="2" t="s">
        <v>14</v>
      </c>
      <c r="C85" s="2" t="s">
        <v>215</v>
      </c>
      <c r="D85" s="5">
        <v>829.53</v>
      </c>
      <c r="E85" s="5">
        <v>4.0</v>
      </c>
      <c r="F85" s="6">
        <v>3318.12</v>
      </c>
      <c r="G85" s="2" t="s">
        <v>305</v>
      </c>
      <c r="H85" s="2" t="s">
        <v>306</v>
      </c>
      <c r="I85" s="2" t="s">
        <v>307</v>
      </c>
    </row>
    <row r="86" ht="15.75" customHeight="1">
      <c r="A86" s="1">
        <v>45580.0</v>
      </c>
      <c r="B86" s="2" t="s">
        <v>34</v>
      </c>
      <c r="C86" s="2" t="s">
        <v>308</v>
      </c>
      <c r="D86" s="5">
        <v>2377.34</v>
      </c>
      <c r="E86" s="5">
        <v>2.0</v>
      </c>
      <c r="F86" s="6">
        <v>4754.68</v>
      </c>
      <c r="G86" s="2" t="s">
        <v>309</v>
      </c>
      <c r="H86" s="2" t="s">
        <v>310</v>
      </c>
      <c r="I86" s="2" t="s">
        <v>311</v>
      </c>
    </row>
    <row r="87" ht="15.75" customHeight="1">
      <c r="A87" s="1">
        <v>45581.0</v>
      </c>
      <c r="B87" s="2" t="s">
        <v>57</v>
      </c>
      <c r="C87" s="2" t="s">
        <v>312</v>
      </c>
      <c r="D87" s="5">
        <v>1614.05</v>
      </c>
      <c r="E87" s="5">
        <v>1.0</v>
      </c>
      <c r="F87" s="6">
        <v>1614.05</v>
      </c>
      <c r="G87" s="2" t="s">
        <v>313</v>
      </c>
      <c r="H87" s="2" t="s">
        <v>314</v>
      </c>
      <c r="I87" s="2" t="s">
        <v>315</v>
      </c>
    </row>
    <row r="88" ht="15.75" customHeight="1">
      <c r="A88" s="1">
        <v>45581.0</v>
      </c>
      <c r="B88" s="2" t="s">
        <v>9</v>
      </c>
      <c r="C88" s="2" t="s">
        <v>316</v>
      </c>
      <c r="D88" s="5">
        <v>1805.81</v>
      </c>
      <c r="E88" s="5">
        <v>3.0</v>
      </c>
      <c r="F88" s="6">
        <v>5417.43</v>
      </c>
      <c r="G88" s="2" t="s">
        <v>317</v>
      </c>
      <c r="H88" s="2" t="s">
        <v>318</v>
      </c>
      <c r="I88" s="2" t="s">
        <v>319</v>
      </c>
    </row>
    <row r="89" ht="15.75" customHeight="1">
      <c r="A89" s="1">
        <v>45581.0</v>
      </c>
      <c r="B89" s="2" t="s">
        <v>57</v>
      </c>
      <c r="C89" s="2" t="s">
        <v>230</v>
      </c>
      <c r="D89" s="5">
        <v>1112.48</v>
      </c>
      <c r="E89" s="5">
        <v>2.0</v>
      </c>
      <c r="F89" s="6">
        <v>2224.96</v>
      </c>
      <c r="G89" s="2" t="s">
        <v>320</v>
      </c>
      <c r="H89" s="2" t="s">
        <v>321</v>
      </c>
      <c r="I89" s="2" t="s">
        <v>322</v>
      </c>
    </row>
    <row r="90" ht="15.75" customHeight="1">
      <c r="A90" s="1">
        <v>45581.0</v>
      </c>
      <c r="B90" s="2" t="s">
        <v>57</v>
      </c>
      <c r="C90" s="2" t="s">
        <v>279</v>
      </c>
      <c r="D90" s="5">
        <v>2264.15</v>
      </c>
      <c r="E90" s="5">
        <v>5.0</v>
      </c>
      <c r="F90" s="6">
        <v>11320.75</v>
      </c>
      <c r="G90" s="2" t="s">
        <v>323</v>
      </c>
      <c r="H90" s="2" t="s">
        <v>324</v>
      </c>
      <c r="I90" s="2" t="s">
        <v>325</v>
      </c>
    </row>
    <row r="91" ht="15.75" customHeight="1">
      <c r="A91" s="8">
        <v>45581.0</v>
      </c>
      <c r="B91" s="2" t="s">
        <v>74</v>
      </c>
      <c r="C91" s="2" t="s">
        <v>115</v>
      </c>
      <c r="D91" s="5">
        <v>833.39</v>
      </c>
      <c r="E91" s="5">
        <v>1.0</v>
      </c>
      <c r="F91" s="6">
        <v>833.39</v>
      </c>
      <c r="G91" s="2" t="s">
        <v>326</v>
      </c>
      <c r="H91" s="2" t="s">
        <v>327</v>
      </c>
      <c r="I91" s="2" t="s">
        <v>328</v>
      </c>
    </row>
    <row r="92" ht="15.75" customHeight="1">
      <c r="A92" s="1">
        <v>45581.0</v>
      </c>
      <c r="B92" s="2" t="s">
        <v>14</v>
      </c>
      <c r="C92" s="2" t="s">
        <v>215</v>
      </c>
      <c r="D92" s="2"/>
      <c r="E92" s="5">
        <v>5.0</v>
      </c>
      <c r="F92" s="6">
        <v>11708.85</v>
      </c>
      <c r="G92" s="2" t="s">
        <v>329</v>
      </c>
      <c r="H92" s="2" t="s">
        <v>330</v>
      </c>
      <c r="I92" s="2" t="s">
        <v>331</v>
      </c>
    </row>
    <row r="93" ht="15.75" customHeight="1">
      <c r="A93" s="1">
        <v>45581.0</v>
      </c>
      <c r="B93" s="2" t="s">
        <v>34</v>
      </c>
      <c r="C93" s="2" t="s">
        <v>165</v>
      </c>
      <c r="D93" s="5">
        <v>397.5</v>
      </c>
      <c r="E93" s="5">
        <v>2.0</v>
      </c>
      <c r="F93" s="6">
        <v>795.0</v>
      </c>
      <c r="G93" s="2" t="s">
        <v>332</v>
      </c>
      <c r="H93" s="2" t="s">
        <v>333</v>
      </c>
      <c r="I93" s="2" t="s">
        <v>334</v>
      </c>
    </row>
    <row r="94" ht="15.75" customHeight="1">
      <c r="A94" s="1">
        <v>45581.0</v>
      </c>
      <c r="B94" s="3" t="s">
        <v>29</v>
      </c>
      <c r="C94" s="2" t="s">
        <v>88</v>
      </c>
      <c r="D94" s="5">
        <v>100.75</v>
      </c>
      <c r="E94" s="5">
        <v>1.0</v>
      </c>
      <c r="F94" s="6">
        <v>100.75</v>
      </c>
      <c r="G94" s="2" t="s">
        <v>335</v>
      </c>
      <c r="H94" s="2" t="s">
        <v>336</v>
      </c>
      <c r="I94" s="2" t="s">
        <v>337</v>
      </c>
    </row>
    <row r="95" ht="15.75" customHeight="1">
      <c r="A95" s="1">
        <v>45581.0</v>
      </c>
      <c r="B95" s="3" t="s">
        <v>29</v>
      </c>
      <c r="C95" s="2" t="s">
        <v>269</v>
      </c>
      <c r="D95" s="5">
        <v>1268.91</v>
      </c>
      <c r="E95" s="5">
        <v>2.0</v>
      </c>
      <c r="F95" s="6">
        <v>2537.82</v>
      </c>
      <c r="G95" s="2" t="s">
        <v>338</v>
      </c>
      <c r="H95" s="2" t="s">
        <v>339</v>
      </c>
      <c r="I95" s="2" t="s">
        <v>340</v>
      </c>
    </row>
    <row r="96" ht="15.75" customHeight="1">
      <c r="A96" s="1">
        <v>45581.0</v>
      </c>
      <c r="B96" s="3" t="s">
        <v>29</v>
      </c>
      <c r="C96" s="2" t="s">
        <v>341</v>
      </c>
      <c r="D96" s="5">
        <v>903.41</v>
      </c>
      <c r="E96" s="5">
        <v>3.0</v>
      </c>
      <c r="F96" s="6">
        <v>2710.23</v>
      </c>
      <c r="G96" s="2" t="s">
        <v>342</v>
      </c>
      <c r="H96" s="2" t="s">
        <v>343</v>
      </c>
      <c r="I96" s="2" t="s">
        <v>344</v>
      </c>
    </row>
    <row r="97" ht="15.75" customHeight="1">
      <c r="A97" s="1">
        <v>45581.0</v>
      </c>
      <c r="B97" s="2" t="s">
        <v>34</v>
      </c>
      <c r="C97" s="2" t="s">
        <v>341</v>
      </c>
      <c r="D97" s="5">
        <v>259.75</v>
      </c>
      <c r="E97" s="5">
        <v>4.0</v>
      </c>
      <c r="F97" s="6">
        <v>1039.0</v>
      </c>
      <c r="G97" s="2" t="s">
        <v>345</v>
      </c>
      <c r="H97" s="2" t="s">
        <v>346</v>
      </c>
      <c r="I97" s="2" t="s">
        <v>347</v>
      </c>
    </row>
    <row r="98" ht="15.75" customHeight="1">
      <c r="A98" s="1">
        <v>45582.0</v>
      </c>
      <c r="B98" s="3" t="s">
        <v>29</v>
      </c>
      <c r="C98" s="2" t="s">
        <v>252</v>
      </c>
      <c r="D98" s="5">
        <v>798.65</v>
      </c>
      <c r="E98" s="5">
        <v>1.0</v>
      </c>
      <c r="F98" s="6">
        <v>798.65</v>
      </c>
      <c r="G98" s="2" t="s">
        <v>348</v>
      </c>
      <c r="H98" s="2" t="s">
        <v>349</v>
      </c>
      <c r="I98" s="2" t="s">
        <v>350</v>
      </c>
    </row>
    <row r="99" ht="15.75" customHeight="1">
      <c r="A99" s="1">
        <v>45582.0</v>
      </c>
      <c r="B99" s="2" t="s">
        <v>9</v>
      </c>
      <c r="C99" s="2" t="s">
        <v>83</v>
      </c>
      <c r="D99" s="5">
        <v>1937.4</v>
      </c>
      <c r="E99" s="5">
        <v>2.0</v>
      </c>
      <c r="F99" s="6">
        <v>3874.8</v>
      </c>
      <c r="G99" s="2" t="s">
        <v>351</v>
      </c>
      <c r="H99" s="2" t="s">
        <v>352</v>
      </c>
      <c r="I99" s="2" t="s">
        <v>353</v>
      </c>
    </row>
    <row r="100" ht="15.75" customHeight="1">
      <c r="A100" s="1">
        <v>45582.0</v>
      </c>
      <c r="B100" s="2" t="s">
        <v>34</v>
      </c>
      <c r="C100" s="2" t="s">
        <v>161</v>
      </c>
      <c r="D100" s="5">
        <v>1866.74</v>
      </c>
      <c r="E100" s="5">
        <v>4.0</v>
      </c>
      <c r="F100" s="6">
        <v>7466.96</v>
      </c>
      <c r="G100" s="2" t="s">
        <v>354</v>
      </c>
      <c r="H100" s="2" t="s">
        <v>355</v>
      </c>
      <c r="I100" s="2" t="s">
        <v>356</v>
      </c>
    </row>
    <row r="101" ht="15.75" customHeight="1">
      <c r="A101" s="1">
        <v>45582.0</v>
      </c>
      <c r="B101" s="3" t="s">
        <v>29</v>
      </c>
      <c r="C101" s="2" t="s">
        <v>137</v>
      </c>
      <c r="D101" s="5">
        <v>1093.69</v>
      </c>
      <c r="E101" s="5">
        <v>1.0</v>
      </c>
      <c r="F101" s="6">
        <v>1093.69</v>
      </c>
      <c r="G101" s="2" t="s">
        <v>357</v>
      </c>
      <c r="H101" s="2" t="s">
        <v>358</v>
      </c>
      <c r="I101" s="7" t="s">
        <v>359</v>
      </c>
    </row>
    <row r="102" ht="15.75" customHeight="1">
      <c r="A102" s="1">
        <v>45582.0</v>
      </c>
      <c r="B102" s="2" t="s">
        <v>9</v>
      </c>
      <c r="C102" s="2" t="s">
        <v>115</v>
      </c>
      <c r="D102" s="5">
        <v>2063.13</v>
      </c>
      <c r="E102" s="5">
        <v>4.0</v>
      </c>
      <c r="F102" s="6">
        <v>8252.52</v>
      </c>
      <c r="G102" s="2" t="s">
        <v>360</v>
      </c>
      <c r="H102" s="2" t="s">
        <v>361</v>
      </c>
      <c r="I102" s="2" t="s">
        <v>362</v>
      </c>
    </row>
    <row r="103" ht="15.75" customHeight="1">
      <c r="A103" s="1">
        <v>45582.0</v>
      </c>
      <c r="B103" s="2" t="s">
        <v>74</v>
      </c>
      <c r="C103" s="2" t="s">
        <v>123</v>
      </c>
      <c r="D103" s="5">
        <v>1091.59</v>
      </c>
      <c r="E103" s="5">
        <v>5.0</v>
      </c>
      <c r="F103" s="6">
        <v>5457.95</v>
      </c>
      <c r="G103" s="2" t="s">
        <v>363</v>
      </c>
      <c r="H103" s="2" t="s">
        <v>364</v>
      </c>
      <c r="I103" s="2" t="s">
        <v>365</v>
      </c>
    </row>
    <row r="104" ht="15.75" customHeight="1">
      <c r="A104" s="1">
        <v>45582.0</v>
      </c>
      <c r="B104" s="2" t="s">
        <v>14</v>
      </c>
      <c r="C104" s="2" t="s">
        <v>366</v>
      </c>
      <c r="D104" s="5">
        <v>271.81</v>
      </c>
      <c r="E104" s="5">
        <v>2.0</v>
      </c>
      <c r="F104" s="4"/>
      <c r="G104" s="2" t="s">
        <v>367</v>
      </c>
      <c r="H104" s="2" t="s">
        <v>368</v>
      </c>
      <c r="I104" s="2" t="s">
        <v>369</v>
      </c>
    </row>
    <row r="105" ht="15.75" customHeight="1">
      <c r="A105" s="1">
        <v>45582.0</v>
      </c>
      <c r="B105" s="3" t="s">
        <v>29</v>
      </c>
      <c r="C105" s="2" t="s">
        <v>370</v>
      </c>
      <c r="D105" s="5">
        <v>2392.27</v>
      </c>
      <c r="E105" s="5">
        <v>4.0</v>
      </c>
      <c r="F105" s="6">
        <v>9569.08</v>
      </c>
      <c r="G105" s="2" t="s">
        <v>371</v>
      </c>
      <c r="H105" s="2" t="s">
        <v>372</v>
      </c>
      <c r="I105" s="2" t="s">
        <v>373</v>
      </c>
    </row>
    <row r="106" ht="15.75" customHeight="1">
      <c r="A106" s="1">
        <v>45582.0</v>
      </c>
      <c r="B106" s="2" t="s">
        <v>57</v>
      </c>
      <c r="C106" s="2" t="s">
        <v>169</v>
      </c>
      <c r="D106" s="5">
        <v>2411.28</v>
      </c>
      <c r="E106" s="5">
        <v>4.0</v>
      </c>
      <c r="F106" s="6">
        <v>9645.12</v>
      </c>
      <c r="G106" s="2" t="s">
        <v>374</v>
      </c>
      <c r="H106" s="2" t="s">
        <v>375</v>
      </c>
      <c r="I106" s="2" t="s">
        <v>376</v>
      </c>
    </row>
    <row r="107" ht="15.75" customHeight="1">
      <c r="A107" s="1">
        <v>45582.0</v>
      </c>
      <c r="B107" s="3" t="s">
        <v>29</v>
      </c>
      <c r="C107" s="2" t="s">
        <v>53</v>
      </c>
      <c r="D107" s="5">
        <v>303.84</v>
      </c>
      <c r="E107" s="5">
        <v>1.0</v>
      </c>
      <c r="F107" s="6">
        <v>303.84</v>
      </c>
      <c r="G107" s="2" t="s">
        <v>377</v>
      </c>
      <c r="H107" s="2" t="s">
        <v>378</v>
      </c>
      <c r="I107" s="2" t="s">
        <v>379</v>
      </c>
    </row>
    <row r="108" ht="15.75" customHeight="1">
      <c r="A108" s="1">
        <v>45582.0</v>
      </c>
      <c r="B108" s="2" t="s">
        <v>74</v>
      </c>
      <c r="C108" s="2" t="s">
        <v>316</v>
      </c>
      <c r="D108" s="5">
        <v>228.78</v>
      </c>
      <c r="E108" s="5">
        <v>1.0</v>
      </c>
      <c r="F108" s="6">
        <v>228.78</v>
      </c>
      <c r="G108" s="2" t="s">
        <v>380</v>
      </c>
      <c r="H108" s="2" t="s">
        <v>381</v>
      </c>
      <c r="I108" s="2" t="s">
        <v>382</v>
      </c>
    </row>
    <row r="109" ht="15.75" customHeight="1">
      <c r="A109" s="1">
        <v>45583.0</v>
      </c>
      <c r="B109" s="2" t="s">
        <v>9</v>
      </c>
      <c r="C109" s="2" t="s">
        <v>58</v>
      </c>
      <c r="D109" s="5">
        <v>721.04</v>
      </c>
      <c r="E109" s="5">
        <v>4.0</v>
      </c>
      <c r="F109" s="6">
        <v>2884.16</v>
      </c>
      <c r="G109" s="2" t="s">
        <v>383</v>
      </c>
      <c r="H109" s="2" t="s">
        <v>384</v>
      </c>
      <c r="I109" s="2" t="s">
        <v>385</v>
      </c>
    </row>
    <row r="110" ht="15.75" customHeight="1">
      <c r="A110" s="1">
        <v>45583.0</v>
      </c>
      <c r="B110" s="2" t="s">
        <v>74</v>
      </c>
      <c r="C110" s="2" t="s">
        <v>386</v>
      </c>
      <c r="D110" s="5">
        <v>594.52</v>
      </c>
      <c r="E110" s="5">
        <v>2.0</v>
      </c>
      <c r="F110" s="6">
        <v>1189.04</v>
      </c>
      <c r="G110" s="2" t="s">
        <v>387</v>
      </c>
      <c r="H110" s="2" t="s">
        <v>388</v>
      </c>
      <c r="I110" s="2" t="s">
        <v>389</v>
      </c>
    </row>
    <row r="111" ht="15.75" customHeight="1">
      <c r="A111" s="1">
        <v>45583.0</v>
      </c>
      <c r="B111" s="2" t="s">
        <v>9</v>
      </c>
      <c r="C111" s="2" t="s">
        <v>341</v>
      </c>
      <c r="D111" s="5">
        <v>1612.96</v>
      </c>
      <c r="E111" s="5">
        <v>1.0</v>
      </c>
      <c r="F111" s="6">
        <v>1612.96</v>
      </c>
      <c r="G111" s="2" t="s">
        <v>390</v>
      </c>
      <c r="H111" s="2" t="s">
        <v>391</v>
      </c>
      <c r="I111" s="2" t="s">
        <v>392</v>
      </c>
    </row>
    <row r="112" ht="15.75" customHeight="1">
      <c r="A112" s="1">
        <v>45583.0</v>
      </c>
      <c r="B112" s="2" t="s">
        <v>14</v>
      </c>
      <c r="C112" s="2" t="s">
        <v>289</v>
      </c>
      <c r="D112" s="5">
        <v>169.21</v>
      </c>
      <c r="E112" s="5">
        <v>3.0</v>
      </c>
      <c r="F112" s="6">
        <v>507.63</v>
      </c>
      <c r="G112" s="2" t="s">
        <v>393</v>
      </c>
      <c r="H112" s="2" t="s">
        <v>394</v>
      </c>
      <c r="I112" s="2" t="s">
        <v>395</v>
      </c>
    </row>
    <row r="113" ht="15.75" customHeight="1">
      <c r="A113" s="1">
        <v>45583.0</v>
      </c>
      <c r="B113" s="2" t="s">
        <v>14</v>
      </c>
      <c r="C113" s="2" t="s">
        <v>396</v>
      </c>
      <c r="D113" s="5">
        <v>709.65</v>
      </c>
      <c r="E113" s="5">
        <v>3.0</v>
      </c>
      <c r="F113" s="6">
        <v>2128.95</v>
      </c>
      <c r="G113" s="2" t="s">
        <v>397</v>
      </c>
      <c r="H113" s="2" t="s">
        <v>398</v>
      </c>
      <c r="I113" s="2" t="s">
        <v>399</v>
      </c>
    </row>
    <row r="114" ht="15.75" customHeight="1">
      <c r="A114" s="1">
        <v>45583.0</v>
      </c>
      <c r="B114" s="2" t="s">
        <v>14</v>
      </c>
      <c r="C114" s="2" t="s">
        <v>161</v>
      </c>
      <c r="D114" s="5">
        <v>1750.63</v>
      </c>
      <c r="E114" s="5">
        <v>5.0</v>
      </c>
      <c r="F114" s="6">
        <v>8753.15</v>
      </c>
      <c r="G114" s="2" t="s">
        <v>400</v>
      </c>
      <c r="H114" s="2" t="s">
        <v>401</v>
      </c>
      <c r="I114" s="2" t="s">
        <v>402</v>
      </c>
    </row>
    <row r="115" ht="15.75" customHeight="1">
      <c r="A115" s="1">
        <v>45583.0</v>
      </c>
      <c r="B115" s="2" t="s">
        <v>57</v>
      </c>
      <c r="C115" s="2" t="s">
        <v>83</v>
      </c>
      <c r="D115" s="2"/>
      <c r="E115" s="5">
        <v>4.0</v>
      </c>
      <c r="F115" s="6">
        <v>6259.84</v>
      </c>
      <c r="G115" s="2" t="s">
        <v>403</v>
      </c>
      <c r="H115" s="2" t="s">
        <v>404</v>
      </c>
      <c r="I115" s="2" t="s">
        <v>405</v>
      </c>
    </row>
    <row r="116" ht="15.75" customHeight="1">
      <c r="A116" s="1">
        <v>45583.0</v>
      </c>
      <c r="B116" s="2" t="s">
        <v>34</v>
      </c>
      <c r="C116" s="2" t="s">
        <v>66</v>
      </c>
      <c r="D116" s="5">
        <v>1972.43</v>
      </c>
      <c r="E116" s="5">
        <v>5.0</v>
      </c>
      <c r="F116" s="6">
        <v>9862.15</v>
      </c>
      <c r="G116" s="2" t="s">
        <v>406</v>
      </c>
      <c r="H116" s="2" t="s">
        <v>407</v>
      </c>
      <c r="I116" s="2" t="s">
        <v>408</v>
      </c>
    </row>
    <row r="117" ht="15.75" customHeight="1">
      <c r="A117" s="1">
        <v>45583.0</v>
      </c>
      <c r="B117" s="3" t="s">
        <v>29</v>
      </c>
      <c r="C117" s="2" t="s">
        <v>10</v>
      </c>
      <c r="D117" s="5">
        <v>2431.8</v>
      </c>
      <c r="E117" s="5">
        <v>2.0</v>
      </c>
      <c r="F117" s="6">
        <v>4863.6</v>
      </c>
      <c r="G117" s="2" t="s">
        <v>409</v>
      </c>
      <c r="H117" s="2" t="s">
        <v>410</v>
      </c>
      <c r="I117" s="2" t="s">
        <v>411</v>
      </c>
    </row>
    <row r="118" ht="15.75" customHeight="1">
      <c r="A118" s="1">
        <v>45583.0</v>
      </c>
      <c r="B118" s="2" t="s">
        <v>57</v>
      </c>
      <c r="C118" s="2" t="s">
        <v>222</v>
      </c>
      <c r="D118" s="5">
        <v>904.01</v>
      </c>
      <c r="E118" s="5">
        <v>1.0</v>
      </c>
      <c r="F118" s="6">
        <v>904.01</v>
      </c>
      <c r="G118" s="2" t="s">
        <v>412</v>
      </c>
      <c r="H118" s="2" t="s">
        <v>413</v>
      </c>
      <c r="I118" s="2" t="s">
        <v>414</v>
      </c>
    </row>
    <row r="119" ht="15.75" customHeight="1">
      <c r="A119" s="1">
        <v>45583.0</v>
      </c>
      <c r="B119" s="2" t="s">
        <v>74</v>
      </c>
      <c r="C119" s="2" t="s">
        <v>308</v>
      </c>
      <c r="D119" s="5">
        <v>700.55</v>
      </c>
      <c r="E119" s="5">
        <v>5.0</v>
      </c>
      <c r="F119" s="6">
        <v>3502.75</v>
      </c>
      <c r="G119" s="3" t="s">
        <v>415</v>
      </c>
      <c r="H119" s="2" t="s">
        <v>416</v>
      </c>
      <c r="I119" s="2" t="s">
        <v>417</v>
      </c>
    </row>
    <row r="120" ht="15.75" customHeight="1">
      <c r="A120" s="1">
        <v>45583.0</v>
      </c>
      <c r="B120" s="2" t="s">
        <v>34</v>
      </c>
      <c r="C120" s="2" t="s">
        <v>22</v>
      </c>
      <c r="D120" s="5">
        <v>1034.4</v>
      </c>
      <c r="E120" s="5">
        <v>1.0</v>
      </c>
      <c r="F120" s="6">
        <v>1034.4</v>
      </c>
      <c r="G120" s="2" t="s">
        <v>418</v>
      </c>
      <c r="H120" s="2" t="s">
        <v>419</v>
      </c>
      <c r="I120" s="2" t="s">
        <v>420</v>
      </c>
    </row>
    <row r="121" ht="15.75" customHeight="1">
      <c r="A121" s="1">
        <v>45584.0</v>
      </c>
      <c r="B121" s="2" t="s">
        <v>74</v>
      </c>
      <c r="C121" s="2" t="s">
        <v>49</v>
      </c>
      <c r="D121" s="5">
        <v>902.5</v>
      </c>
      <c r="E121" s="5">
        <v>3.0</v>
      </c>
      <c r="F121" s="6">
        <v>2707.5</v>
      </c>
      <c r="G121" s="2" t="s">
        <v>421</v>
      </c>
      <c r="H121" s="2" t="s">
        <v>422</v>
      </c>
      <c r="I121" s="2" t="s">
        <v>423</v>
      </c>
    </row>
    <row r="122" ht="15.75" customHeight="1">
      <c r="A122" s="1">
        <v>45584.0</v>
      </c>
      <c r="B122" s="2" t="s">
        <v>74</v>
      </c>
      <c r="C122" s="2" t="s">
        <v>15</v>
      </c>
      <c r="D122" s="5">
        <v>713.75</v>
      </c>
      <c r="E122" s="5">
        <v>3.0</v>
      </c>
      <c r="F122" s="6">
        <v>2141.25</v>
      </c>
      <c r="G122" s="2" t="s">
        <v>424</v>
      </c>
      <c r="H122" s="2" t="s">
        <v>425</v>
      </c>
      <c r="I122" s="2" t="s">
        <v>426</v>
      </c>
    </row>
    <row r="123" ht="15.75" customHeight="1">
      <c r="A123" s="1">
        <v>45584.0</v>
      </c>
      <c r="B123" s="2" t="s">
        <v>9</v>
      </c>
      <c r="C123" s="2" t="s">
        <v>427</v>
      </c>
      <c r="D123" s="5">
        <v>2484.74</v>
      </c>
      <c r="E123" s="5">
        <v>5.0</v>
      </c>
      <c r="F123" s="6">
        <v>12423.7</v>
      </c>
      <c r="G123" s="2" t="s">
        <v>428</v>
      </c>
      <c r="H123" s="2" t="s">
        <v>429</v>
      </c>
      <c r="I123" s="2" t="s">
        <v>430</v>
      </c>
    </row>
    <row r="124" ht="15.75" customHeight="1">
      <c r="A124" s="1">
        <v>45584.0</v>
      </c>
      <c r="B124" s="2" t="s">
        <v>57</v>
      </c>
      <c r="C124" s="2" t="s">
        <v>161</v>
      </c>
      <c r="D124" s="5">
        <v>2182.83</v>
      </c>
      <c r="E124" s="5">
        <v>4.0</v>
      </c>
      <c r="F124" s="6">
        <v>8731.32</v>
      </c>
      <c r="G124" s="2" t="s">
        <v>431</v>
      </c>
      <c r="H124" s="2" t="s">
        <v>432</v>
      </c>
      <c r="I124" s="2" t="s">
        <v>433</v>
      </c>
    </row>
    <row r="125" ht="15.75" customHeight="1">
      <c r="A125" s="1">
        <v>45584.0</v>
      </c>
      <c r="B125" s="2" t="s">
        <v>57</v>
      </c>
      <c r="C125" s="2" t="s">
        <v>427</v>
      </c>
      <c r="D125" s="5">
        <v>2329.03</v>
      </c>
      <c r="E125" s="5">
        <v>4.0</v>
      </c>
      <c r="F125" s="6">
        <v>9316.12</v>
      </c>
      <c r="G125" s="2" t="s">
        <v>434</v>
      </c>
      <c r="H125" s="2" t="s">
        <v>435</v>
      </c>
      <c r="I125" s="2" t="s">
        <v>436</v>
      </c>
    </row>
    <row r="126" ht="15.75" customHeight="1">
      <c r="A126" s="1">
        <v>45584.0</v>
      </c>
      <c r="B126" s="2" t="s">
        <v>14</v>
      </c>
      <c r="C126" s="2" t="s">
        <v>30</v>
      </c>
      <c r="D126" s="5">
        <v>130.05</v>
      </c>
      <c r="E126" s="5">
        <v>1.0</v>
      </c>
      <c r="F126" s="6">
        <v>130.05</v>
      </c>
      <c r="G126" s="2" t="s">
        <v>437</v>
      </c>
      <c r="H126" s="2" t="s">
        <v>438</v>
      </c>
      <c r="I126" s="2" t="s">
        <v>439</v>
      </c>
    </row>
    <row r="127" ht="15.75" customHeight="1">
      <c r="A127" s="1">
        <v>45584.0</v>
      </c>
      <c r="B127" s="2" t="s">
        <v>57</v>
      </c>
      <c r="C127" s="2" t="s">
        <v>269</v>
      </c>
      <c r="D127" s="5">
        <v>1564.37</v>
      </c>
      <c r="E127" s="5">
        <v>1.0</v>
      </c>
      <c r="F127" s="6">
        <v>1564.37</v>
      </c>
      <c r="G127" s="2" t="s">
        <v>440</v>
      </c>
      <c r="H127" s="2" t="s">
        <v>441</v>
      </c>
      <c r="I127" s="2" t="s">
        <v>442</v>
      </c>
    </row>
    <row r="128" ht="15.75" customHeight="1">
      <c r="A128" s="1">
        <v>45584.0</v>
      </c>
      <c r="B128" s="2" t="s">
        <v>74</v>
      </c>
      <c r="C128" s="2" t="s">
        <v>15</v>
      </c>
      <c r="D128" s="5">
        <v>2317.94</v>
      </c>
      <c r="E128" s="5">
        <v>4.0</v>
      </c>
      <c r="F128" s="6">
        <v>9271.76</v>
      </c>
      <c r="G128" s="2" t="s">
        <v>443</v>
      </c>
      <c r="H128" s="2" t="s">
        <v>444</v>
      </c>
      <c r="I128" s="2" t="s">
        <v>445</v>
      </c>
    </row>
    <row r="129" ht="15.75" customHeight="1">
      <c r="A129" s="1">
        <v>45584.0</v>
      </c>
      <c r="B129" s="2" t="s">
        <v>14</v>
      </c>
      <c r="C129" s="2" t="s">
        <v>222</v>
      </c>
      <c r="D129" s="5">
        <v>722.95</v>
      </c>
      <c r="E129" s="5">
        <v>3.0</v>
      </c>
      <c r="F129" s="6">
        <v>2168.85</v>
      </c>
      <c r="G129" s="2" t="s">
        <v>446</v>
      </c>
      <c r="H129" s="2" t="s">
        <v>447</v>
      </c>
      <c r="I129" s="2" t="s">
        <v>448</v>
      </c>
    </row>
    <row r="130" ht="15.75" customHeight="1">
      <c r="A130" s="1">
        <v>45584.0</v>
      </c>
      <c r="B130" s="3" t="s">
        <v>29</v>
      </c>
      <c r="C130" s="2" t="s">
        <v>165</v>
      </c>
      <c r="D130" s="5">
        <v>242.27</v>
      </c>
      <c r="E130" s="5">
        <v>1.0</v>
      </c>
      <c r="F130" s="6">
        <v>242.27</v>
      </c>
      <c r="G130" s="2" t="s">
        <v>449</v>
      </c>
      <c r="H130" s="2" t="s">
        <v>450</v>
      </c>
      <c r="I130" s="2" t="s">
        <v>451</v>
      </c>
    </row>
    <row r="131" ht="15.75" customHeight="1">
      <c r="A131" s="1">
        <v>45584.0</v>
      </c>
      <c r="B131" s="2" t="s">
        <v>57</v>
      </c>
      <c r="C131" s="2" t="s">
        <v>35</v>
      </c>
      <c r="D131" s="5">
        <v>1279.5</v>
      </c>
      <c r="E131" s="5">
        <v>2.0</v>
      </c>
      <c r="F131" s="6">
        <v>2559.0</v>
      </c>
      <c r="G131" s="2" t="s">
        <v>452</v>
      </c>
      <c r="H131" s="2" t="s">
        <v>453</v>
      </c>
      <c r="I131" s="2" t="s">
        <v>454</v>
      </c>
    </row>
    <row r="132" ht="15.75" customHeight="1">
      <c r="A132" s="1">
        <v>45585.0</v>
      </c>
      <c r="B132" s="3" t="s">
        <v>29</v>
      </c>
      <c r="C132" s="2" t="s">
        <v>66</v>
      </c>
      <c r="D132" s="5">
        <v>2299.22</v>
      </c>
      <c r="E132" s="5">
        <v>5.0</v>
      </c>
      <c r="F132" s="6">
        <v>11496.1</v>
      </c>
      <c r="G132" s="2" t="s">
        <v>455</v>
      </c>
      <c r="H132" s="2" t="s">
        <v>456</v>
      </c>
      <c r="I132" s="2" t="s">
        <v>457</v>
      </c>
    </row>
    <row r="133" ht="15.75" customHeight="1">
      <c r="A133" s="1">
        <v>45585.0</v>
      </c>
      <c r="B133" s="3" t="s">
        <v>29</v>
      </c>
      <c r="C133" s="2" t="s">
        <v>39</v>
      </c>
      <c r="D133" s="5">
        <v>1077.13</v>
      </c>
      <c r="E133" s="5">
        <v>5.0</v>
      </c>
      <c r="F133" s="6">
        <v>5385.65</v>
      </c>
      <c r="G133" s="2" t="s">
        <v>458</v>
      </c>
      <c r="H133" s="2" t="s">
        <v>459</v>
      </c>
      <c r="I133" s="2" t="s">
        <v>460</v>
      </c>
    </row>
    <row r="134" ht="15.75" customHeight="1">
      <c r="A134" s="1">
        <v>45585.0</v>
      </c>
      <c r="B134" s="3" t="s">
        <v>29</v>
      </c>
      <c r="C134" s="2" t="s">
        <v>10</v>
      </c>
      <c r="D134" s="5">
        <v>1956.0</v>
      </c>
      <c r="E134" s="5">
        <v>5.0</v>
      </c>
      <c r="F134" s="6">
        <v>9780.0</v>
      </c>
      <c r="G134" s="2" t="s">
        <v>461</v>
      </c>
      <c r="H134" s="2" t="s">
        <v>462</v>
      </c>
      <c r="I134" s="2" t="s">
        <v>463</v>
      </c>
    </row>
    <row r="135" ht="15.75" customHeight="1">
      <c r="A135" s="1">
        <v>45585.0</v>
      </c>
      <c r="B135" s="2" t="s">
        <v>74</v>
      </c>
      <c r="C135" s="2" t="s">
        <v>130</v>
      </c>
      <c r="D135" s="5">
        <v>2224.57</v>
      </c>
      <c r="E135" s="5">
        <v>5.0</v>
      </c>
      <c r="F135" s="6">
        <v>11122.85</v>
      </c>
      <c r="G135" s="2" t="s">
        <v>464</v>
      </c>
      <c r="H135" s="2" t="s">
        <v>465</v>
      </c>
      <c r="I135" s="7" t="s">
        <v>466</v>
      </c>
    </row>
    <row r="136" ht="15.75" customHeight="1">
      <c r="A136" s="1">
        <v>45585.0</v>
      </c>
      <c r="B136" s="2" t="s">
        <v>87</v>
      </c>
      <c r="C136" s="2" t="s">
        <v>341</v>
      </c>
      <c r="D136" s="5">
        <v>1840.11</v>
      </c>
      <c r="E136" s="5">
        <v>1.0</v>
      </c>
      <c r="F136" s="6">
        <v>1840.11</v>
      </c>
      <c r="G136" s="2" t="s">
        <v>467</v>
      </c>
      <c r="H136" s="2" t="s">
        <v>468</v>
      </c>
      <c r="I136" s="2" t="s">
        <v>469</v>
      </c>
    </row>
    <row r="137" ht="15.75" customHeight="1">
      <c r="A137" s="1">
        <v>45585.0</v>
      </c>
      <c r="B137" s="3" t="s">
        <v>29</v>
      </c>
      <c r="C137" s="2" t="s">
        <v>308</v>
      </c>
      <c r="D137" s="5">
        <v>2081.9</v>
      </c>
      <c r="E137" s="5">
        <v>1.0</v>
      </c>
      <c r="F137" s="6">
        <v>2081.9</v>
      </c>
      <c r="G137" s="2" t="s">
        <v>470</v>
      </c>
      <c r="H137" s="2" t="s">
        <v>471</v>
      </c>
      <c r="I137" s="2" t="s">
        <v>472</v>
      </c>
    </row>
    <row r="138" ht="15.75" customHeight="1">
      <c r="A138" s="1">
        <v>45585.0</v>
      </c>
      <c r="B138" s="2" t="s">
        <v>57</v>
      </c>
      <c r="C138" s="2" t="s">
        <v>137</v>
      </c>
      <c r="D138" s="5">
        <v>320.64</v>
      </c>
      <c r="E138" s="5">
        <v>5.0</v>
      </c>
      <c r="F138" s="6">
        <v>1603.2</v>
      </c>
      <c r="G138" s="2" t="s">
        <v>473</v>
      </c>
      <c r="H138" s="2" t="s">
        <v>474</v>
      </c>
      <c r="I138" s="2" t="s">
        <v>475</v>
      </c>
    </row>
    <row r="139" ht="15.75" customHeight="1">
      <c r="A139" s="1">
        <v>45585.0</v>
      </c>
      <c r="B139" s="2" t="s">
        <v>57</v>
      </c>
      <c r="C139" s="2" t="s">
        <v>79</v>
      </c>
      <c r="D139" s="5">
        <v>318.76</v>
      </c>
      <c r="E139" s="5">
        <v>3.0</v>
      </c>
      <c r="F139" s="6">
        <v>956.28</v>
      </c>
      <c r="G139" s="2" t="s">
        <v>476</v>
      </c>
      <c r="H139" s="2" t="s">
        <v>477</v>
      </c>
      <c r="I139" s="7" t="s">
        <v>478</v>
      </c>
    </row>
    <row r="140" ht="15.75" customHeight="1">
      <c r="A140" s="1">
        <v>45585.0</v>
      </c>
      <c r="B140" s="3" t="s">
        <v>29</v>
      </c>
      <c r="C140" s="2" t="s">
        <v>137</v>
      </c>
      <c r="D140" s="5">
        <v>474.59</v>
      </c>
      <c r="E140" s="5">
        <v>4.0</v>
      </c>
      <c r="F140" s="6">
        <v>1898.36</v>
      </c>
      <c r="G140" s="2" t="s">
        <v>479</v>
      </c>
      <c r="H140" s="2" t="s">
        <v>480</v>
      </c>
      <c r="I140" s="2" t="s">
        <v>481</v>
      </c>
    </row>
    <row r="141" ht="15.75" customHeight="1">
      <c r="A141" s="1">
        <v>45585.0</v>
      </c>
      <c r="B141" s="2" t="s">
        <v>74</v>
      </c>
      <c r="C141" s="2" t="s">
        <v>70</v>
      </c>
      <c r="D141" s="5">
        <v>2430.43</v>
      </c>
      <c r="E141" s="5">
        <v>5.0</v>
      </c>
      <c r="F141" s="6">
        <v>12152.15</v>
      </c>
      <c r="G141" s="2" t="s">
        <v>482</v>
      </c>
      <c r="H141" s="2" t="s">
        <v>483</v>
      </c>
      <c r="I141" s="2" t="s">
        <v>484</v>
      </c>
    </row>
    <row r="142" ht="15.75" customHeight="1">
      <c r="A142" s="1">
        <v>45585.0</v>
      </c>
      <c r="B142" s="2" t="s">
        <v>34</v>
      </c>
      <c r="C142" s="2" t="s">
        <v>256</v>
      </c>
      <c r="D142" s="5">
        <v>270.83</v>
      </c>
      <c r="E142" s="5">
        <v>3.0</v>
      </c>
      <c r="F142" s="6">
        <v>812.49</v>
      </c>
      <c r="G142" s="2" t="s">
        <v>485</v>
      </c>
      <c r="H142" s="2" t="s">
        <v>486</v>
      </c>
      <c r="I142" s="2" t="s">
        <v>487</v>
      </c>
    </row>
    <row r="143" ht="15.75" customHeight="1">
      <c r="A143" s="1">
        <v>45586.0</v>
      </c>
      <c r="B143" s="2" t="s">
        <v>9</v>
      </c>
      <c r="C143" s="2" t="s">
        <v>115</v>
      </c>
      <c r="D143" s="5">
        <v>121.68</v>
      </c>
      <c r="E143" s="5">
        <v>2.0</v>
      </c>
      <c r="F143" s="6">
        <v>243.36</v>
      </c>
      <c r="G143" s="2" t="s">
        <v>488</v>
      </c>
      <c r="H143" s="2" t="s">
        <v>489</v>
      </c>
      <c r="I143" s="2" t="s">
        <v>490</v>
      </c>
    </row>
    <row r="144" ht="15.75" customHeight="1">
      <c r="A144" s="1">
        <v>45586.0</v>
      </c>
      <c r="B144" s="2" t="s">
        <v>74</v>
      </c>
      <c r="C144" s="2" t="s">
        <v>92</v>
      </c>
      <c r="D144" s="5">
        <v>392.86</v>
      </c>
      <c r="E144" s="5">
        <v>2.0</v>
      </c>
      <c r="F144" s="6">
        <v>785.72</v>
      </c>
      <c r="G144" s="2" t="s">
        <v>491</v>
      </c>
      <c r="H144" s="2" t="s">
        <v>492</v>
      </c>
      <c r="I144" s="2" t="s">
        <v>493</v>
      </c>
    </row>
    <row r="145" ht="15.75" customHeight="1">
      <c r="A145" s="1">
        <v>45586.0</v>
      </c>
      <c r="B145" s="2" t="s">
        <v>87</v>
      </c>
      <c r="C145" s="2" t="s">
        <v>341</v>
      </c>
      <c r="D145" s="5">
        <v>1807.14</v>
      </c>
      <c r="E145" s="5">
        <v>5.0</v>
      </c>
      <c r="F145" s="6">
        <v>9035.7</v>
      </c>
      <c r="G145" s="2" t="s">
        <v>494</v>
      </c>
      <c r="H145" s="2" t="s">
        <v>495</v>
      </c>
      <c r="I145" s="2" t="s">
        <v>496</v>
      </c>
    </row>
    <row r="146" ht="15.75" customHeight="1">
      <c r="A146" s="1">
        <v>45586.0</v>
      </c>
      <c r="B146" s="2" t="s">
        <v>57</v>
      </c>
      <c r="C146" s="2" t="s">
        <v>151</v>
      </c>
      <c r="D146" s="5">
        <v>1604.02</v>
      </c>
      <c r="E146" s="5">
        <v>5.0</v>
      </c>
      <c r="F146" s="6">
        <v>8020.1</v>
      </c>
      <c r="G146" s="2" t="s">
        <v>497</v>
      </c>
      <c r="H146" s="2" t="s">
        <v>498</v>
      </c>
      <c r="I146" s="2" t="s">
        <v>499</v>
      </c>
    </row>
    <row r="147" ht="15.75" customHeight="1">
      <c r="A147" s="1">
        <v>45586.0</v>
      </c>
      <c r="B147" s="2" t="s">
        <v>34</v>
      </c>
      <c r="C147" s="2" t="s">
        <v>269</v>
      </c>
      <c r="D147" s="5">
        <v>72.75</v>
      </c>
      <c r="E147" s="5">
        <v>3.0</v>
      </c>
      <c r="F147" s="6">
        <v>218.25</v>
      </c>
      <c r="G147" s="2" t="s">
        <v>500</v>
      </c>
      <c r="H147" s="2" t="s">
        <v>501</v>
      </c>
      <c r="I147" s="2" t="s">
        <v>502</v>
      </c>
    </row>
    <row r="148" ht="15.75" customHeight="1">
      <c r="A148" s="1">
        <v>45587.0</v>
      </c>
      <c r="B148" s="3" t="s">
        <v>29</v>
      </c>
      <c r="C148" s="2" t="s">
        <v>503</v>
      </c>
      <c r="D148" s="5">
        <v>1524.07</v>
      </c>
      <c r="E148" s="5">
        <v>1.0</v>
      </c>
      <c r="F148" s="6">
        <v>1524.07</v>
      </c>
      <c r="G148" s="2" t="s">
        <v>504</v>
      </c>
      <c r="H148" s="2" t="s">
        <v>505</v>
      </c>
      <c r="I148" s="2" t="s">
        <v>506</v>
      </c>
    </row>
    <row r="149" ht="15.75" customHeight="1">
      <c r="A149" s="1">
        <v>45587.0</v>
      </c>
      <c r="B149" s="2" t="s">
        <v>74</v>
      </c>
      <c r="C149" s="2" t="s">
        <v>79</v>
      </c>
      <c r="D149" s="5">
        <v>2392.65</v>
      </c>
      <c r="E149" s="5">
        <v>4.0</v>
      </c>
      <c r="F149" s="6">
        <v>9570.6</v>
      </c>
      <c r="G149" s="2" t="s">
        <v>507</v>
      </c>
      <c r="H149" s="2" t="s">
        <v>508</v>
      </c>
      <c r="I149" s="2" t="s">
        <v>509</v>
      </c>
    </row>
    <row r="150" ht="15.75" customHeight="1">
      <c r="A150" s="1">
        <v>45587.0</v>
      </c>
      <c r="B150" s="3" t="s">
        <v>29</v>
      </c>
      <c r="C150" s="2" t="s">
        <v>269</v>
      </c>
      <c r="D150" s="5">
        <v>1988.0</v>
      </c>
      <c r="E150" s="5">
        <v>2.0</v>
      </c>
      <c r="F150" s="6">
        <v>3976.0</v>
      </c>
      <c r="G150" s="2" t="s">
        <v>510</v>
      </c>
      <c r="H150" s="2" t="s">
        <v>511</v>
      </c>
      <c r="I150" s="2" t="s">
        <v>512</v>
      </c>
    </row>
    <row r="151" ht="15.75" customHeight="1">
      <c r="A151" s="1">
        <v>45587.0</v>
      </c>
      <c r="B151" s="2" t="s">
        <v>57</v>
      </c>
      <c r="C151" s="2" t="s">
        <v>226</v>
      </c>
      <c r="D151" s="5">
        <v>1703.47</v>
      </c>
      <c r="E151" s="5">
        <v>2.0</v>
      </c>
      <c r="F151" s="6">
        <v>3406.94</v>
      </c>
      <c r="G151" s="2" t="s">
        <v>513</v>
      </c>
      <c r="H151" s="2" t="s">
        <v>514</v>
      </c>
      <c r="I151" s="2" t="s">
        <v>515</v>
      </c>
    </row>
    <row r="152" ht="15.75" customHeight="1">
      <c r="A152" s="1">
        <v>45587.0</v>
      </c>
      <c r="B152" s="2" t="s">
        <v>57</v>
      </c>
      <c r="C152" s="2" t="s">
        <v>35</v>
      </c>
      <c r="D152" s="5">
        <v>205.25</v>
      </c>
      <c r="E152" s="5">
        <v>3.0</v>
      </c>
      <c r="F152" s="6">
        <v>615.75</v>
      </c>
      <c r="G152" s="2" t="s">
        <v>516</v>
      </c>
      <c r="H152" s="2" t="s">
        <v>517</v>
      </c>
      <c r="I152" s="2" t="s">
        <v>518</v>
      </c>
    </row>
    <row r="153" ht="15.75" customHeight="1">
      <c r="A153" s="1">
        <v>45587.0</v>
      </c>
      <c r="B153" s="2" t="s">
        <v>74</v>
      </c>
      <c r="C153" s="2" t="s">
        <v>252</v>
      </c>
      <c r="D153" s="5">
        <v>1882.22</v>
      </c>
      <c r="E153" s="5">
        <v>3.0</v>
      </c>
      <c r="F153" s="6">
        <v>5646.66</v>
      </c>
      <c r="G153" s="2" t="s">
        <v>519</v>
      </c>
      <c r="H153" s="2" t="s">
        <v>520</v>
      </c>
      <c r="I153" s="2" t="s">
        <v>521</v>
      </c>
    </row>
    <row r="154" ht="15.75" customHeight="1">
      <c r="A154" s="1">
        <v>45587.0</v>
      </c>
      <c r="B154" s="2" t="s">
        <v>14</v>
      </c>
      <c r="C154" s="2" t="s">
        <v>226</v>
      </c>
      <c r="D154" s="5">
        <v>419.18</v>
      </c>
      <c r="E154" s="5">
        <v>4.0</v>
      </c>
      <c r="F154" s="6">
        <v>1676.72</v>
      </c>
      <c r="G154" s="2" t="s">
        <v>522</v>
      </c>
      <c r="H154" s="2" t="s">
        <v>523</v>
      </c>
      <c r="I154" s="2" t="s">
        <v>524</v>
      </c>
    </row>
    <row r="155" ht="15.75" customHeight="1">
      <c r="A155" s="1">
        <v>45587.0</v>
      </c>
      <c r="B155" s="2" t="s">
        <v>34</v>
      </c>
      <c r="C155" s="2" t="s">
        <v>256</v>
      </c>
      <c r="D155" s="5">
        <v>1511.08</v>
      </c>
      <c r="E155" s="5">
        <v>2.0</v>
      </c>
      <c r="F155" s="6">
        <v>3022.16</v>
      </c>
      <c r="G155" s="2" t="s">
        <v>525</v>
      </c>
      <c r="H155" s="2" t="s">
        <v>526</v>
      </c>
      <c r="I155" s="2" t="s">
        <v>527</v>
      </c>
    </row>
    <row r="156" ht="15.75" customHeight="1">
      <c r="A156" s="1">
        <v>45587.0</v>
      </c>
      <c r="B156" s="2" t="s">
        <v>9</v>
      </c>
      <c r="C156" s="2" t="s">
        <v>289</v>
      </c>
      <c r="D156" s="5">
        <v>1736.9</v>
      </c>
      <c r="E156" s="5">
        <v>5.0</v>
      </c>
      <c r="F156" s="6">
        <v>8684.5</v>
      </c>
      <c r="G156" s="2" t="s">
        <v>528</v>
      </c>
      <c r="H156" s="2" t="s">
        <v>529</v>
      </c>
      <c r="I156" s="2" t="s">
        <v>530</v>
      </c>
    </row>
    <row r="157" ht="15.75" customHeight="1">
      <c r="A157" s="1">
        <v>45587.0</v>
      </c>
      <c r="B157" s="2" t="s">
        <v>14</v>
      </c>
      <c r="C157" s="2" t="s">
        <v>161</v>
      </c>
      <c r="D157" s="5">
        <v>2063.13</v>
      </c>
      <c r="E157" s="5">
        <v>4.0</v>
      </c>
      <c r="F157" s="6">
        <v>8252.52</v>
      </c>
      <c r="G157" s="2" t="s">
        <v>531</v>
      </c>
      <c r="H157" s="2" t="s">
        <v>532</v>
      </c>
      <c r="I157" s="2" t="s">
        <v>533</v>
      </c>
    </row>
    <row r="158" ht="15.75" customHeight="1">
      <c r="A158" s="1">
        <v>45587.0</v>
      </c>
      <c r="B158" s="3" t="s">
        <v>29</v>
      </c>
      <c r="C158" s="2" t="s">
        <v>226</v>
      </c>
      <c r="D158" s="5">
        <v>2240.54</v>
      </c>
      <c r="E158" s="5">
        <v>2.0</v>
      </c>
      <c r="F158" s="6">
        <v>4481.08</v>
      </c>
      <c r="G158" s="2" t="s">
        <v>534</v>
      </c>
      <c r="H158" s="2" t="s">
        <v>535</v>
      </c>
      <c r="I158" s="2" t="s">
        <v>536</v>
      </c>
    </row>
    <row r="159" ht="15.75" customHeight="1">
      <c r="A159" s="1">
        <v>45588.0</v>
      </c>
      <c r="B159" s="2" t="s">
        <v>9</v>
      </c>
      <c r="C159" s="2" t="s">
        <v>130</v>
      </c>
      <c r="D159" s="5">
        <v>1242.34</v>
      </c>
      <c r="E159" s="5">
        <v>5.0</v>
      </c>
      <c r="F159" s="6">
        <v>6211.7</v>
      </c>
      <c r="G159" s="2" t="s">
        <v>537</v>
      </c>
      <c r="H159" s="2" t="s">
        <v>538</v>
      </c>
      <c r="I159" s="2" t="s">
        <v>539</v>
      </c>
    </row>
    <row r="160" ht="15.75" customHeight="1">
      <c r="A160" s="1">
        <v>45588.0</v>
      </c>
      <c r="B160" s="2" t="s">
        <v>57</v>
      </c>
      <c r="C160" s="2" t="s">
        <v>396</v>
      </c>
      <c r="D160" s="5">
        <v>1657.62</v>
      </c>
      <c r="E160" s="5">
        <v>4.0</v>
      </c>
      <c r="F160" s="6">
        <v>6630.48</v>
      </c>
      <c r="G160" s="2" t="s">
        <v>540</v>
      </c>
      <c r="H160" s="2" t="s">
        <v>541</v>
      </c>
      <c r="I160" s="2" t="s">
        <v>542</v>
      </c>
    </row>
    <row r="161" ht="15.75" customHeight="1">
      <c r="A161" s="1">
        <v>45588.0</v>
      </c>
      <c r="B161" s="2" t="s">
        <v>34</v>
      </c>
      <c r="C161" s="2" t="s">
        <v>15</v>
      </c>
      <c r="D161" s="5">
        <v>499.22</v>
      </c>
      <c r="E161" s="5">
        <v>3.0</v>
      </c>
      <c r="F161" s="6">
        <v>1497.66</v>
      </c>
      <c r="G161" s="2" t="s">
        <v>543</v>
      </c>
      <c r="H161" s="2" t="s">
        <v>544</v>
      </c>
      <c r="I161" s="2" t="s">
        <v>545</v>
      </c>
    </row>
    <row r="162" ht="15.75" customHeight="1">
      <c r="A162" s="1">
        <v>45588.0</v>
      </c>
      <c r="B162" s="2" t="s">
        <v>57</v>
      </c>
      <c r="C162" s="2" t="s">
        <v>279</v>
      </c>
      <c r="D162" s="5">
        <v>348.21</v>
      </c>
      <c r="E162" s="5">
        <v>5.0</v>
      </c>
      <c r="F162" s="6">
        <v>1741.05</v>
      </c>
      <c r="G162" s="2" t="s">
        <v>546</v>
      </c>
      <c r="H162" s="2" t="s">
        <v>547</v>
      </c>
      <c r="I162" s="2" t="s">
        <v>548</v>
      </c>
    </row>
    <row r="163" ht="15.75" customHeight="1">
      <c r="A163" s="1">
        <v>45588.0</v>
      </c>
      <c r="B163" s="3" t="s">
        <v>29</v>
      </c>
      <c r="C163" s="2" t="s">
        <v>79</v>
      </c>
      <c r="D163" s="5">
        <v>324.46</v>
      </c>
      <c r="E163" s="5">
        <v>2.0</v>
      </c>
      <c r="F163" s="6">
        <v>648.92</v>
      </c>
      <c r="G163" s="2" t="s">
        <v>549</v>
      </c>
      <c r="H163" s="2" t="s">
        <v>550</v>
      </c>
      <c r="I163" s="2" t="s">
        <v>551</v>
      </c>
    </row>
    <row r="164" ht="15.75" customHeight="1">
      <c r="A164" s="1">
        <v>45588.0</v>
      </c>
      <c r="B164" s="2" t="s">
        <v>74</v>
      </c>
      <c r="C164" s="2" t="s">
        <v>53</v>
      </c>
      <c r="D164" s="5">
        <v>796.3</v>
      </c>
      <c r="E164" s="5">
        <v>4.0</v>
      </c>
      <c r="F164" s="6">
        <v>3185.2</v>
      </c>
      <c r="G164" s="2" t="s">
        <v>552</v>
      </c>
      <c r="H164" s="2" t="s">
        <v>553</v>
      </c>
      <c r="I164" s="2" t="s">
        <v>554</v>
      </c>
    </row>
    <row r="165" ht="15.75" customHeight="1">
      <c r="A165" s="1">
        <v>45588.0</v>
      </c>
      <c r="B165" s="2" t="s">
        <v>9</v>
      </c>
      <c r="C165" s="2" t="s">
        <v>187</v>
      </c>
      <c r="D165" s="5">
        <v>1327.27</v>
      </c>
      <c r="E165" s="5">
        <v>2.0</v>
      </c>
      <c r="F165" s="6">
        <v>2654.54</v>
      </c>
      <c r="G165" s="2" t="s">
        <v>555</v>
      </c>
      <c r="H165" s="2" t="s">
        <v>556</v>
      </c>
      <c r="I165" s="7" t="s">
        <v>557</v>
      </c>
    </row>
    <row r="166" ht="15.75" customHeight="1">
      <c r="A166" s="1">
        <v>45588.0</v>
      </c>
      <c r="B166" s="2" t="s">
        <v>34</v>
      </c>
      <c r="C166" s="2" t="s">
        <v>169</v>
      </c>
      <c r="D166" s="5">
        <v>2384.86</v>
      </c>
      <c r="E166" s="5">
        <v>4.0</v>
      </c>
      <c r="F166" s="6">
        <v>9539.44</v>
      </c>
      <c r="G166" s="2" t="s">
        <v>558</v>
      </c>
      <c r="H166" s="2" t="s">
        <v>559</v>
      </c>
      <c r="I166" s="2" t="s">
        <v>560</v>
      </c>
    </row>
    <row r="167" ht="15.75" customHeight="1">
      <c r="A167" s="1">
        <v>45588.0</v>
      </c>
      <c r="B167" s="2" t="s">
        <v>34</v>
      </c>
      <c r="C167" s="2" t="s">
        <v>88</v>
      </c>
      <c r="D167" s="5">
        <v>379.64</v>
      </c>
      <c r="E167" s="5">
        <v>3.0</v>
      </c>
      <c r="F167" s="6">
        <v>1138.92</v>
      </c>
      <c r="G167" s="2" t="s">
        <v>561</v>
      </c>
      <c r="H167" s="2" t="s">
        <v>562</v>
      </c>
      <c r="I167" s="2" t="s">
        <v>563</v>
      </c>
    </row>
    <row r="168" ht="15.75" customHeight="1">
      <c r="A168" s="1">
        <v>45588.0</v>
      </c>
      <c r="B168" s="2" t="s">
        <v>57</v>
      </c>
      <c r="C168" s="2" t="s">
        <v>30</v>
      </c>
      <c r="D168" s="5">
        <v>1582.73</v>
      </c>
      <c r="E168" s="5">
        <v>2.0</v>
      </c>
      <c r="F168" s="6">
        <v>3165.46</v>
      </c>
      <c r="G168" s="2" t="s">
        <v>564</v>
      </c>
      <c r="H168" s="2" t="s">
        <v>565</v>
      </c>
      <c r="I168" s="2" t="s">
        <v>566</v>
      </c>
    </row>
    <row r="169" ht="15.75" customHeight="1">
      <c r="A169" s="1">
        <v>45588.0</v>
      </c>
      <c r="B169" s="2" t="s">
        <v>74</v>
      </c>
      <c r="C169" s="2" t="s">
        <v>92</v>
      </c>
      <c r="D169" s="5">
        <v>1362.97</v>
      </c>
      <c r="E169" s="5">
        <v>1.0</v>
      </c>
      <c r="F169" s="6">
        <v>1362.97</v>
      </c>
      <c r="G169" s="2" t="s">
        <v>567</v>
      </c>
      <c r="H169" s="2" t="s">
        <v>568</v>
      </c>
      <c r="I169" s="2" t="s">
        <v>569</v>
      </c>
    </row>
    <row r="170" ht="15.75" customHeight="1">
      <c r="A170" s="1">
        <v>45588.0</v>
      </c>
      <c r="B170" s="2" t="s">
        <v>14</v>
      </c>
      <c r="C170" s="2" t="s">
        <v>570</v>
      </c>
      <c r="D170" s="5">
        <v>1817.8</v>
      </c>
      <c r="E170" s="5">
        <v>3.0</v>
      </c>
      <c r="F170" s="6">
        <v>5453.4</v>
      </c>
      <c r="G170" s="2" t="s">
        <v>571</v>
      </c>
      <c r="H170" s="2" t="s">
        <v>572</v>
      </c>
      <c r="I170" s="2" t="s">
        <v>573</v>
      </c>
    </row>
    <row r="171" ht="15.75" customHeight="1">
      <c r="A171" s="1">
        <v>45589.0</v>
      </c>
      <c r="B171" s="2" t="s">
        <v>74</v>
      </c>
      <c r="C171" s="2" t="s">
        <v>39</v>
      </c>
      <c r="D171" s="5">
        <v>1962.79</v>
      </c>
      <c r="E171" s="5">
        <v>3.0</v>
      </c>
      <c r="F171" s="6">
        <v>5888.37</v>
      </c>
      <c r="G171" s="2" t="s">
        <v>574</v>
      </c>
      <c r="H171" s="2" t="s">
        <v>575</v>
      </c>
      <c r="I171" s="2" t="s">
        <v>576</v>
      </c>
    </row>
    <row r="172" ht="15.75" customHeight="1">
      <c r="A172" s="1">
        <v>45589.0</v>
      </c>
      <c r="B172" s="2" t="s">
        <v>74</v>
      </c>
      <c r="C172" s="2" t="s">
        <v>35</v>
      </c>
      <c r="D172" s="5">
        <v>785.65</v>
      </c>
      <c r="E172" s="5">
        <v>1.0</v>
      </c>
      <c r="F172" s="6">
        <v>785.65</v>
      </c>
      <c r="G172" s="2" t="s">
        <v>577</v>
      </c>
      <c r="H172" s="2" t="s">
        <v>578</v>
      </c>
      <c r="I172" s="2" t="s">
        <v>579</v>
      </c>
    </row>
    <row r="173" ht="15.75" customHeight="1">
      <c r="A173" s="1">
        <v>45589.0</v>
      </c>
      <c r="B173" s="2" t="s">
        <v>34</v>
      </c>
      <c r="C173" s="2" t="s">
        <v>370</v>
      </c>
      <c r="D173" s="5">
        <v>747.11</v>
      </c>
      <c r="E173" s="5">
        <v>5.0</v>
      </c>
      <c r="F173" s="6">
        <v>3735.55</v>
      </c>
      <c r="G173" s="2" t="s">
        <v>580</v>
      </c>
      <c r="H173" s="2" t="s">
        <v>581</v>
      </c>
      <c r="I173" s="2" t="s">
        <v>582</v>
      </c>
    </row>
    <row r="174" ht="15.75" customHeight="1">
      <c r="A174" s="1">
        <v>45589.0</v>
      </c>
      <c r="B174" s="3" t="s">
        <v>29</v>
      </c>
      <c r="C174" s="2" t="s">
        <v>10</v>
      </c>
      <c r="D174" s="5">
        <v>1030.99</v>
      </c>
      <c r="E174" s="5">
        <v>1.0</v>
      </c>
      <c r="F174" s="6">
        <v>1030.99</v>
      </c>
      <c r="G174" s="2" t="s">
        <v>583</v>
      </c>
      <c r="H174" s="2" t="s">
        <v>584</v>
      </c>
      <c r="I174" s="2" t="s">
        <v>585</v>
      </c>
    </row>
    <row r="175" ht="15.75" customHeight="1">
      <c r="A175" s="1">
        <v>45589.0</v>
      </c>
      <c r="B175" s="2" t="s">
        <v>57</v>
      </c>
      <c r="C175" s="2" t="s">
        <v>53</v>
      </c>
      <c r="D175" s="5">
        <v>486.27</v>
      </c>
      <c r="E175" s="5">
        <v>5.0</v>
      </c>
      <c r="F175" s="6">
        <v>2431.35</v>
      </c>
      <c r="G175" s="3" t="s">
        <v>586</v>
      </c>
      <c r="H175" s="2" t="s">
        <v>587</v>
      </c>
      <c r="I175" s="2" t="s">
        <v>588</v>
      </c>
    </row>
    <row r="176" ht="15.75" customHeight="1">
      <c r="A176" s="1">
        <v>45589.0</v>
      </c>
      <c r="B176" s="2" t="s">
        <v>9</v>
      </c>
      <c r="C176" s="2" t="s">
        <v>165</v>
      </c>
      <c r="D176" s="5">
        <v>1518.43</v>
      </c>
      <c r="E176" s="5">
        <v>5.0</v>
      </c>
      <c r="F176" s="6">
        <v>7592.15</v>
      </c>
      <c r="G176" s="2" t="s">
        <v>589</v>
      </c>
      <c r="H176" s="2" t="s">
        <v>590</v>
      </c>
      <c r="I176" s="2" t="s">
        <v>591</v>
      </c>
    </row>
    <row r="177" ht="15.75" customHeight="1">
      <c r="A177" s="1">
        <v>45589.0</v>
      </c>
      <c r="B177" s="2" t="s">
        <v>14</v>
      </c>
      <c r="C177" s="2" t="s">
        <v>130</v>
      </c>
      <c r="D177" s="5">
        <v>2100.84</v>
      </c>
      <c r="E177" s="5">
        <v>5.0</v>
      </c>
      <c r="F177" s="6">
        <v>10504.2</v>
      </c>
      <c r="G177" s="2" t="s">
        <v>592</v>
      </c>
      <c r="H177" s="2" t="s">
        <v>593</v>
      </c>
      <c r="I177" s="2" t="s">
        <v>594</v>
      </c>
    </row>
    <row r="178" ht="15.75" customHeight="1">
      <c r="A178" s="1">
        <v>45589.0</v>
      </c>
      <c r="B178" s="2" t="s">
        <v>74</v>
      </c>
      <c r="C178" s="2" t="s">
        <v>269</v>
      </c>
      <c r="D178" s="5">
        <v>1261.22</v>
      </c>
      <c r="E178" s="5">
        <v>2.0</v>
      </c>
      <c r="F178" s="6">
        <v>2522.44</v>
      </c>
      <c r="G178" s="2" t="s">
        <v>595</v>
      </c>
      <c r="H178" s="2" t="s">
        <v>596</v>
      </c>
      <c r="I178" s="2" t="s">
        <v>597</v>
      </c>
    </row>
    <row r="179" ht="15.75" customHeight="1">
      <c r="A179" s="1">
        <v>45589.0</v>
      </c>
      <c r="B179" s="2" t="s">
        <v>74</v>
      </c>
      <c r="C179" s="2" t="s">
        <v>15</v>
      </c>
      <c r="D179" s="5">
        <v>2418.11</v>
      </c>
      <c r="E179" s="5">
        <v>1.0</v>
      </c>
      <c r="F179" s="6">
        <v>2418.11</v>
      </c>
      <c r="G179" s="2" t="s">
        <v>598</v>
      </c>
      <c r="H179" s="2" t="s">
        <v>599</v>
      </c>
      <c r="I179" s="2" t="s">
        <v>600</v>
      </c>
    </row>
    <row r="180" ht="15.75" customHeight="1">
      <c r="A180" s="1">
        <v>45589.0</v>
      </c>
      <c r="B180" s="3" t="s">
        <v>29</v>
      </c>
      <c r="C180" s="2" t="s">
        <v>66</v>
      </c>
      <c r="D180" s="5">
        <v>2499.77</v>
      </c>
      <c r="E180" s="5">
        <v>3.0</v>
      </c>
      <c r="F180" s="6">
        <v>7499.31</v>
      </c>
      <c r="G180" s="2" t="s">
        <v>601</v>
      </c>
      <c r="H180" s="2" t="s">
        <v>602</v>
      </c>
      <c r="I180" s="2" t="s">
        <v>603</v>
      </c>
    </row>
    <row r="181" ht="15.75" customHeight="1">
      <c r="A181" s="1">
        <v>45589.0</v>
      </c>
      <c r="B181" s="2" t="s">
        <v>74</v>
      </c>
      <c r="C181" s="2" t="s">
        <v>119</v>
      </c>
      <c r="D181" s="5">
        <v>1228.74</v>
      </c>
      <c r="E181" s="5">
        <v>2.0</v>
      </c>
      <c r="F181" s="6">
        <v>2457.48</v>
      </c>
      <c r="G181" s="2" t="s">
        <v>604</v>
      </c>
      <c r="H181" s="2" t="s">
        <v>605</v>
      </c>
      <c r="I181" s="2" t="s">
        <v>606</v>
      </c>
    </row>
    <row r="182" ht="15.75" customHeight="1">
      <c r="A182" s="1">
        <v>45589.0</v>
      </c>
      <c r="B182" s="3" t="s">
        <v>29</v>
      </c>
      <c r="C182" s="2" t="s">
        <v>269</v>
      </c>
      <c r="D182" s="5">
        <v>1901.74</v>
      </c>
      <c r="E182" s="5">
        <v>4.0</v>
      </c>
      <c r="F182" s="6">
        <v>7606.96</v>
      </c>
      <c r="G182" s="2" t="s">
        <v>607</v>
      </c>
      <c r="H182" s="2" t="s">
        <v>608</v>
      </c>
      <c r="I182" s="2" t="s">
        <v>609</v>
      </c>
    </row>
    <row r="183" ht="15.75" customHeight="1">
      <c r="A183" s="1">
        <v>45589.0</v>
      </c>
      <c r="B183" s="3" t="s">
        <v>29</v>
      </c>
      <c r="C183" s="2" t="s">
        <v>10</v>
      </c>
      <c r="D183" s="2"/>
      <c r="E183" s="5">
        <v>5.0</v>
      </c>
      <c r="F183" s="6">
        <v>3716.95</v>
      </c>
      <c r="G183" s="2" t="s">
        <v>610</v>
      </c>
      <c r="H183" s="2" t="s">
        <v>611</v>
      </c>
      <c r="I183" s="2" t="s">
        <v>612</v>
      </c>
    </row>
    <row r="184" ht="15.75" customHeight="1">
      <c r="A184" s="1">
        <v>45590.0</v>
      </c>
      <c r="B184" s="3" t="s">
        <v>29</v>
      </c>
      <c r="C184" s="2" t="s">
        <v>123</v>
      </c>
      <c r="D184" s="5">
        <v>2095.64</v>
      </c>
      <c r="E184" s="5">
        <v>5.0</v>
      </c>
      <c r="F184" s="6">
        <v>10478.2</v>
      </c>
      <c r="G184" s="2" t="s">
        <v>613</v>
      </c>
      <c r="H184" s="2" t="s">
        <v>614</v>
      </c>
      <c r="I184" s="2" t="s">
        <v>615</v>
      </c>
    </row>
    <row r="185" ht="15.75" customHeight="1">
      <c r="A185" s="1">
        <v>45590.0</v>
      </c>
      <c r="B185" s="2" t="s">
        <v>74</v>
      </c>
      <c r="C185" s="2" t="s">
        <v>230</v>
      </c>
      <c r="D185" s="5">
        <v>1062.11</v>
      </c>
      <c r="E185" s="5">
        <v>2.0</v>
      </c>
      <c r="F185" s="6">
        <v>2124.22</v>
      </c>
      <c r="G185" s="2" t="s">
        <v>616</v>
      </c>
      <c r="H185" s="2" t="s">
        <v>617</v>
      </c>
      <c r="I185" s="2" t="s">
        <v>618</v>
      </c>
    </row>
    <row r="186" ht="15.75" customHeight="1">
      <c r="A186" s="1">
        <v>45590.0</v>
      </c>
      <c r="B186" s="3" t="s">
        <v>29</v>
      </c>
      <c r="C186" s="2" t="s">
        <v>169</v>
      </c>
      <c r="D186" s="5">
        <v>1363.09</v>
      </c>
      <c r="E186" s="5">
        <v>5.0</v>
      </c>
      <c r="F186" s="6">
        <v>6815.45</v>
      </c>
      <c r="G186" s="2" t="s">
        <v>619</v>
      </c>
      <c r="H186" s="2" t="s">
        <v>620</v>
      </c>
      <c r="I186" s="2" t="s">
        <v>621</v>
      </c>
    </row>
    <row r="187" ht="15.75" customHeight="1">
      <c r="A187" s="1">
        <v>45590.0</v>
      </c>
      <c r="B187" s="3" t="s">
        <v>29</v>
      </c>
      <c r="C187" s="2" t="s">
        <v>49</v>
      </c>
      <c r="D187" s="5">
        <v>1468.39</v>
      </c>
      <c r="E187" s="5">
        <v>1.0</v>
      </c>
      <c r="F187" s="6">
        <v>1468.39</v>
      </c>
      <c r="G187" s="2" t="s">
        <v>622</v>
      </c>
      <c r="H187" s="2" t="s">
        <v>623</v>
      </c>
      <c r="I187" s="2" t="s">
        <v>624</v>
      </c>
    </row>
    <row r="188" ht="15.75" customHeight="1">
      <c r="A188" s="1">
        <v>45590.0</v>
      </c>
      <c r="B188" s="2" t="s">
        <v>34</v>
      </c>
      <c r="C188" s="2" t="s">
        <v>279</v>
      </c>
      <c r="D188" s="5">
        <v>1823.15</v>
      </c>
      <c r="E188" s="5">
        <v>5.0</v>
      </c>
      <c r="F188" s="6">
        <v>9115.75</v>
      </c>
      <c r="G188" s="2" t="s">
        <v>625</v>
      </c>
      <c r="H188" s="2" t="s">
        <v>626</v>
      </c>
      <c r="I188" s="2" t="s">
        <v>627</v>
      </c>
    </row>
    <row r="189" ht="15.75" customHeight="1">
      <c r="A189" s="1">
        <v>45590.0</v>
      </c>
      <c r="B189" s="2" t="s">
        <v>57</v>
      </c>
      <c r="C189" s="2" t="s">
        <v>427</v>
      </c>
      <c r="D189" s="5">
        <v>2242.64</v>
      </c>
      <c r="E189" s="5">
        <v>4.0</v>
      </c>
      <c r="F189" s="6">
        <v>8970.56</v>
      </c>
      <c r="G189" s="2" t="s">
        <v>628</v>
      </c>
      <c r="H189" s="2" t="s">
        <v>629</v>
      </c>
      <c r="I189" s="2" t="s">
        <v>630</v>
      </c>
    </row>
    <row r="190" ht="15.75" customHeight="1">
      <c r="A190" s="1">
        <v>45590.0</v>
      </c>
      <c r="B190" s="2" t="s">
        <v>57</v>
      </c>
      <c r="C190" s="2" t="s">
        <v>427</v>
      </c>
      <c r="D190" s="5">
        <v>1260.9</v>
      </c>
      <c r="E190" s="5">
        <v>3.0</v>
      </c>
      <c r="F190" s="6">
        <v>3782.7</v>
      </c>
      <c r="G190" s="2" t="s">
        <v>631</v>
      </c>
      <c r="H190" s="2" t="s">
        <v>632</v>
      </c>
      <c r="I190" s="2" t="s">
        <v>633</v>
      </c>
    </row>
    <row r="191" ht="15.75" customHeight="1">
      <c r="A191" s="1">
        <v>45590.0</v>
      </c>
      <c r="B191" s="2" t="s">
        <v>57</v>
      </c>
      <c r="C191" s="2" t="s">
        <v>58</v>
      </c>
      <c r="D191" s="5">
        <v>2382.64</v>
      </c>
      <c r="E191" s="5">
        <v>4.0</v>
      </c>
      <c r="F191" s="6">
        <v>9530.56</v>
      </c>
      <c r="G191" s="2" t="s">
        <v>634</v>
      </c>
      <c r="H191" s="2" t="s">
        <v>635</v>
      </c>
      <c r="I191" s="2" t="s">
        <v>636</v>
      </c>
    </row>
    <row r="192" ht="15.75" customHeight="1">
      <c r="A192" s="1">
        <v>45591.0</v>
      </c>
      <c r="B192" s="2" t="s">
        <v>14</v>
      </c>
      <c r="C192" s="2" t="s">
        <v>637</v>
      </c>
      <c r="D192" s="5">
        <v>919.0</v>
      </c>
      <c r="E192" s="5">
        <v>5.0</v>
      </c>
      <c r="F192" s="6">
        <v>4595.0</v>
      </c>
      <c r="G192" s="2" t="s">
        <v>638</v>
      </c>
      <c r="H192" s="2" t="s">
        <v>639</v>
      </c>
      <c r="I192" s="2" t="s">
        <v>640</v>
      </c>
    </row>
    <row r="193" ht="15.75" customHeight="1">
      <c r="A193" s="1">
        <v>45591.0</v>
      </c>
      <c r="B193" s="2" t="s">
        <v>14</v>
      </c>
      <c r="C193" s="2" t="s">
        <v>366</v>
      </c>
      <c r="D193" s="5">
        <v>1631.22</v>
      </c>
      <c r="E193" s="5">
        <v>5.0</v>
      </c>
      <c r="F193" s="6">
        <v>8156.1</v>
      </c>
      <c r="G193" s="2" t="s">
        <v>641</v>
      </c>
      <c r="H193" s="2" t="s">
        <v>642</v>
      </c>
      <c r="I193" s="2" t="s">
        <v>643</v>
      </c>
    </row>
    <row r="194" ht="15.75" customHeight="1">
      <c r="A194" s="1">
        <v>45591.0</v>
      </c>
      <c r="B194" s="2" t="s">
        <v>14</v>
      </c>
      <c r="C194" s="2" t="s">
        <v>70</v>
      </c>
      <c r="D194" s="5">
        <v>2101.18</v>
      </c>
      <c r="E194" s="5">
        <v>4.0</v>
      </c>
      <c r="F194" s="6">
        <v>8404.72</v>
      </c>
      <c r="G194" s="2" t="s">
        <v>644</v>
      </c>
      <c r="H194" s="2" t="s">
        <v>645</v>
      </c>
      <c r="I194" s="2" t="s">
        <v>646</v>
      </c>
    </row>
    <row r="195" ht="15.75" customHeight="1">
      <c r="A195" s="1">
        <v>45591.0</v>
      </c>
      <c r="B195" s="2" t="s">
        <v>14</v>
      </c>
      <c r="C195" s="2" t="s">
        <v>341</v>
      </c>
      <c r="D195" s="5">
        <v>1868.91</v>
      </c>
      <c r="E195" s="5">
        <v>5.0</v>
      </c>
      <c r="F195" s="6">
        <v>9344.55</v>
      </c>
      <c r="G195" s="2" t="s">
        <v>647</v>
      </c>
      <c r="H195" s="2" t="s">
        <v>648</v>
      </c>
      <c r="I195" s="2" t="s">
        <v>649</v>
      </c>
    </row>
    <row r="196" ht="15.75" customHeight="1">
      <c r="A196" s="1">
        <v>45591.0</v>
      </c>
      <c r="B196" s="2" t="s">
        <v>14</v>
      </c>
      <c r="C196" s="2" t="s">
        <v>10</v>
      </c>
      <c r="D196" s="5">
        <v>1898.24</v>
      </c>
      <c r="E196" s="5">
        <v>1.0</v>
      </c>
      <c r="F196" s="6">
        <v>1898.24</v>
      </c>
      <c r="G196" s="2" t="s">
        <v>650</v>
      </c>
      <c r="H196" s="2" t="s">
        <v>651</v>
      </c>
      <c r="I196" s="2" t="s">
        <v>652</v>
      </c>
    </row>
    <row r="197" ht="15.75" customHeight="1">
      <c r="A197" s="1">
        <v>45591.0</v>
      </c>
      <c r="B197" s="2" t="s">
        <v>74</v>
      </c>
      <c r="C197" s="2" t="s">
        <v>119</v>
      </c>
      <c r="D197" s="5">
        <v>611.99</v>
      </c>
      <c r="E197" s="5">
        <v>2.0</v>
      </c>
      <c r="F197" s="6">
        <v>1223.98</v>
      </c>
      <c r="G197" s="2" t="s">
        <v>653</v>
      </c>
      <c r="H197" s="2" t="s">
        <v>654</v>
      </c>
      <c r="I197" s="2" t="s">
        <v>655</v>
      </c>
    </row>
    <row r="198" ht="15.75" customHeight="1">
      <c r="A198" s="1">
        <v>45591.0</v>
      </c>
      <c r="B198" s="2" t="s">
        <v>74</v>
      </c>
      <c r="C198" s="2" t="s">
        <v>123</v>
      </c>
      <c r="D198" s="5">
        <v>403.48</v>
      </c>
      <c r="E198" s="5">
        <v>2.0</v>
      </c>
      <c r="F198" s="6">
        <v>806.96</v>
      </c>
      <c r="G198" s="2" t="s">
        <v>656</v>
      </c>
      <c r="H198" s="2" t="s">
        <v>657</v>
      </c>
      <c r="I198" s="2" t="s">
        <v>658</v>
      </c>
    </row>
    <row r="199" ht="15.75" customHeight="1">
      <c r="A199" s="1">
        <v>45591.0</v>
      </c>
      <c r="B199" s="2" t="s">
        <v>74</v>
      </c>
      <c r="C199" s="2" t="s">
        <v>88</v>
      </c>
      <c r="D199" s="5">
        <v>724.28</v>
      </c>
      <c r="E199" s="5">
        <v>4.0</v>
      </c>
      <c r="F199" s="6">
        <v>2897.12</v>
      </c>
      <c r="G199" s="2" t="s">
        <v>659</v>
      </c>
      <c r="H199" s="2" t="s">
        <v>660</v>
      </c>
      <c r="I199" s="2" t="s">
        <v>661</v>
      </c>
    </row>
    <row r="200" ht="15.75" customHeight="1">
      <c r="A200" s="1">
        <v>45591.0</v>
      </c>
      <c r="B200" s="2" t="s">
        <v>34</v>
      </c>
      <c r="C200" s="2" t="s">
        <v>662</v>
      </c>
      <c r="D200" s="5">
        <v>174.28</v>
      </c>
      <c r="E200" s="5">
        <v>1.0</v>
      </c>
      <c r="F200" s="6">
        <v>174.28</v>
      </c>
      <c r="G200" s="2" t="s">
        <v>663</v>
      </c>
      <c r="H200" s="2" t="s">
        <v>664</v>
      </c>
      <c r="I200" s="2" t="s">
        <v>665</v>
      </c>
    </row>
    <row r="201" ht="15.75" customHeight="1">
      <c r="A201" s="1">
        <v>45592.0</v>
      </c>
      <c r="B201" s="2" t="s">
        <v>74</v>
      </c>
      <c r="C201" s="2" t="s">
        <v>169</v>
      </c>
      <c r="D201" s="5">
        <v>273.42</v>
      </c>
      <c r="E201" s="5">
        <v>4.0</v>
      </c>
      <c r="F201" s="6">
        <v>1093.68</v>
      </c>
      <c r="G201" s="2" t="s">
        <v>666</v>
      </c>
      <c r="H201" s="2" t="s">
        <v>667</v>
      </c>
      <c r="I201" s="2" t="s">
        <v>668</v>
      </c>
    </row>
    <row r="202" ht="15.75" customHeight="1">
      <c r="A202" s="1">
        <v>45592.0</v>
      </c>
      <c r="B202" s="3" t="s">
        <v>29</v>
      </c>
      <c r="C202" s="2" t="s">
        <v>366</v>
      </c>
      <c r="D202" s="5">
        <v>1437.75</v>
      </c>
      <c r="E202" s="5">
        <v>5.0</v>
      </c>
      <c r="F202" s="6">
        <v>7188.75</v>
      </c>
      <c r="G202" s="2" t="s">
        <v>669</v>
      </c>
      <c r="H202" s="2" t="s">
        <v>670</v>
      </c>
      <c r="I202" s="2" t="s">
        <v>671</v>
      </c>
    </row>
    <row r="203" ht="15.75" customHeight="1">
      <c r="A203" s="1">
        <v>45592.0</v>
      </c>
      <c r="B203" s="2" t="s">
        <v>14</v>
      </c>
      <c r="C203" s="2" t="s">
        <v>35</v>
      </c>
      <c r="D203" s="5">
        <v>1092.45</v>
      </c>
      <c r="E203" s="5">
        <v>3.0</v>
      </c>
      <c r="F203" s="6">
        <v>3277.35</v>
      </c>
      <c r="G203" s="2" t="s">
        <v>672</v>
      </c>
      <c r="H203" s="2" t="s">
        <v>673</v>
      </c>
      <c r="I203" s="2" t="s">
        <v>674</v>
      </c>
    </row>
    <row r="204" ht="15.75" customHeight="1">
      <c r="A204" s="1">
        <v>45592.0</v>
      </c>
      <c r="B204" s="3" t="s">
        <v>29</v>
      </c>
      <c r="C204" s="2" t="s">
        <v>79</v>
      </c>
      <c r="D204" s="5">
        <v>233.85</v>
      </c>
      <c r="E204" s="5">
        <v>3.0</v>
      </c>
      <c r="F204" s="6">
        <v>701.55</v>
      </c>
      <c r="G204" s="2" t="s">
        <v>675</v>
      </c>
      <c r="H204" s="2" t="s">
        <v>676</v>
      </c>
      <c r="I204" s="2" t="s">
        <v>677</v>
      </c>
    </row>
    <row r="205" ht="15.75" customHeight="1">
      <c r="A205" s="1">
        <v>45592.0</v>
      </c>
      <c r="B205" s="2" t="s">
        <v>34</v>
      </c>
      <c r="C205" s="2" t="s">
        <v>10</v>
      </c>
      <c r="D205" s="5">
        <v>832.37</v>
      </c>
      <c r="E205" s="5">
        <v>2.0</v>
      </c>
      <c r="F205" s="6">
        <v>1664.74</v>
      </c>
      <c r="G205" s="2" t="s">
        <v>678</v>
      </c>
      <c r="H205" s="2" t="s">
        <v>679</v>
      </c>
      <c r="I205" s="2" t="s">
        <v>680</v>
      </c>
    </row>
    <row r="206" ht="15.75" customHeight="1">
      <c r="A206" s="1">
        <v>45592.0</v>
      </c>
      <c r="B206" s="2" t="s">
        <v>34</v>
      </c>
      <c r="C206" s="2" t="s">
        <v>62</v>
      </c>
      <c r="D206" s="5">
        <v>755.38</v>
      </c>
      <c r="E206" s="5">
        <v>4.0</v>
      </c>
      <c r="F206" s="6">
        <v>3021.52</v>
      </c>
      <c r="G206" s="2" t="s">
        <v>681</v>
      </c>
      <c r="H206" s="2" t="s">
        <v>682</v>
      </c>
      <c r="I206" s="2" t="s">
        <v>683</v>
      </c>
    </row>
    <row r="207" ht="15.75" customHeight="1">
      <c r="A207" s="1">
        <v>45592.0</v>
      </c>
      <c r="B207" s="3" t="s">
        <v>29</v>
      </c>
      <c r="C207" s="2" t="s">
        <v>83</v>
      </c>
      <c r="D207" s="5">
        <v>1237.66</v>
      </c>
      <c r="E207" s="5">
        <v>1.0</v>
      </c>
      <c r="F207" s="6">
        <v>1237.66</v>
      </c>
      <c r="G207" s="2" t="s">
        <v>684</v>
      </c>
      <c r="H207" s="2" t="s">
        <v>685</v>
      </c>
      <c r="I207" s="2" t="s">
        <v>686</v>
      </c>
    </row>
    <row r="208" ht="15.75" customHeight="1">
      <c r="A208" s="1">
        <v>45592.0</v>
      </c>
      <c r="B208" s="2" t="s">
        <v>57</v>
      </c>
      <c r="C208" s="2" t="s">
        <v>662</v>
      </c>
      <c r="D208" s="5">
        <v>986.08</v>
      </c>
      <c r="E208" s="5">
        <v>4.0</v>
      </c>
      <c r="F208" s="6">
        <v>3944.32</v>
      </c>
      <c r="G208" s="2" t="s">
        <v>687</v>
      </c>
      <c r="H208" s="2" t="s">
        <v>688</v>
      </c>
      <c r="I208" s="2" t="s">
        <v>689</v>
      </c>
    </row>
    <row r="209" ht="15.75" customHeight="1">
      <c r="A209" s="1">
        <v>45592.0</v>
      </c>
      <c r="B209" s="3" t="s">
        <v>29</v>
      </c>
      <c r="C209" s="2" t="s">
        <v>22</v>
      </c>
      <c r="D209" s="5">
        <v>1984.42</v>
      </c>
      <c r="E209" s="5">
        <v>4.0</v>
      </c>
      <c r="F209" s="6">
        <v>7937.68</v>
      </c>
      <c r="G209" s="2" t="s">
        <v>690</v>
      </c>
      <c r="H209" s="2" t="s">
        <v>691</v>
      </c>
      <c r="I209" s="2" t="s">
        <v>692</v>
      </c>
    </row>
    <row r="210" ht="15.75" customHeight="1">
      <c r="A210" s="1">
        <v>45593.0</v>
      </c>
      <c r="B210" s="2" t="s">
        <v>57</v>
      </c>
      <c r="C210" s="2" t="s">
        <v>427</v>
      </c>
      <c r="D210" s="5">
        <v>1537.12</v>
      </c>
      <c r="E210" s="5">
        <v>2.0</v>
      </c>
      <c r="F210" s="6">
        <v>3074.24</v>
      </c>
      <c r="G210" s="2" t="s">
        <v>693</v>
      </c>
      <c r="H210" s="2" t="s">
        <v>694</v>
      </c>
      <c r="I210" s="2" t="s">
        <v>695</v>
      </c>
    </row>
    <row r="211" ht="15.75" customHeight="1">
      <c r="A211" s="1">
        <v>45593.0</v>
      </c>
      <c r="B211" s="3" t="s">
        <v>29</v>
      </c>
      <c r="C211" s="2" t="s">
        <v>22</v>
      </c>
      <c r="D211" s="5">
        <v>1832.39</v>
      </c>
      <c r="E211" s="5">
        <v>4.0</v>
      </c>
      <c r="F211" s="6">
        <v>7329.56</v>
      </c>
      <c r="G211" s="2" t="s">
        <v>696</v>
      </c>
      <c r="H211" s="2" t="s">
        <v>697</v>
      </c>
      <c r="I211" s="2" t="s">
        <v>698</v>
      </c>
    </row>
    <row r="212" ht="15.75" customHeight="1">
      <c r="A212" s="1">
        <v>45593.0</v>
      </c>
      <c r="B212" s="2" t="s">
        <v>74</v>
      </c>
      <c r="C212" s="2" t="s">
        <v>161</v>
      </c>
      <c r="D212" s="5">
        <v>1834.12</v>
      </c>
      <c r="E212" s="5">
        <v>1.0</v>
      </c>
      <c r="F212" s="6">
        <v>1834.12</v>
      </c>
      <c r="G212" s="2" t="s">
        <v>699</v>
      </c>
      <c r="H212" s="2" t="s">
        <v>700</v>
      </c>
      <c r="I212" s="2" t="s">
        <v>701</v>
      </c>
    </row>
    <row r="213" ht="15.75" customHeight="1">
      <c r="A213" s="1">
        <v>45593.0</v>
      </c>
      <c r="B213" s="2" t="s">
        <v>9</v>
      </c>
      <c r="C213" s="2" t="s">
        <v>183</v>
      </c>
      <c r="D213" s="5">
        <v>1779.34</v>
      </c>
      <c r="E213" s="5">
        <v>3.0</v>
      </c>
      <c r="F213" s="6">
        <v>5338.02</v>
      </c>
      <c r="G213" s="2" t="s">
        <v>702</v>
      </c>
      <c r="H213" s="2" t="s">
        <v>703</v>
      </c>
      <c r="I213" s="2" t="s">
        <v>704</v>
      </c>
    </row>
    <row r="214" ht="15.75" customHeight="1">
      <c r="A214" s="1">
        <v>45593.0</v>
      </c>
      <c r="B214" s="3" t="s">
        <v>29</v>
      </c>
      <c r="C214" s="2" t="s">
        <v>161</v>
      </c>
      <c r="D214" s="5">
        <v>2484.65</v>
      </c>
      <c r="E214" s="5">
        <v>2.0</v>
      </c>
      <c r="F214" s="6">
        <v>4969.3</v>
      </c>
      <c r="G214" s="2" t="s">
        <v>705</v>
      </c>
      <c r="H214" s="2" t="s">
        <v>706</v>
      </c>
      <c r="I214" s="2" t="s">
        <v>707</v>
      </c>
    </row>
    <row r="215" ht="15.75" customHeight="1">
      <c r="A215" s="1">
        <v>45593.0</v>
      </c>
      <c r="B215" s="2" t="s">
        <v>34</v>
      </c>
      <c r="C215" s="2" t="s">
        <v>222</v>
      </c>
      <c r="D215" s="5">
        <v>371.09</v>
      </c>
      <c r="E215" s="5">
        <v>4.0</v>
      </c>
      <c r="F215" s="6">
        <v>1484.36</v>
      </c>
      <c r="G215" s="2" t="s">
        <v>708</v>
      </c>
      <c r="H215" s="2" t="s">
        <v>709</v>
      </c>
      <c r="I215" s="2" t="s">
        <v>710</v>
      </c>
    </row>
    <row r="216" ht="15.75" customHeight="1">
      <c r="A216" s="1">
        <v>45593.0</v>
      </c>
      <c r="B216" s="2" t="s">
        <v>14</v>
      </c>
      <c r="C216" s="2" t="s">
        <v>130</v>
      </c>
      <c r="D216" s="5">
        <v>2493.45</v>
      </c>
      <c r="E216" s="5">
        <v>2.0</v>
      </c>
      <c r="F216" s="6">
        <v>4986.9</v>
      </c>
      <c r="G216" s="2" t="s">
        <v>711</v>
      </c>
      <c r="H216" s="2" t="s">
        <v>712</v>
      </c>
      <c r="I216" s="2" t="s">
        <v>713</v>
      </c>
    </row>
    <row r="217" ht="15.75" customHeight="1">
      <c r="A217" s="1">
        <v>45593.0</v>
      </c>
      <c r="B217" s="2" t="s">
        <v>57</v>
      </c>
      <c r="C217" s="2" t="s">
        <v>269</v>
      </c>
      <c r="D217" s="5">
        <v>1010.17</v>
      </c>
      <c r="E217" s="5">
        <v>1.0</v>
      </c>
      <c r="F217" s="6">
        <v>1010.17</v>
      </c>
      <c r="G217" s="2" t="s">
        <v>714</v>
      </c>
      <c r="H217" s="2" t="s">
        <v>715</v>
      </c>
      <c r="I217" s="2" t="s">
        <v>716</v>
      </c>
    </row>
    <row r="218" ht="15.75" customHeight="1">
      <c r="A218" s="1">
        <v>45593.0</v>
      </c>
      <c r="B218" s="2" t="s">
        <v>14</v>
      </c>
      <c r="C218" s="2" t="s">
        <v>222</v>
      </c>
      <c r="D218" s="5">
        <v>2472.61</v>
      </c>
      <c r="E218" s="5">
        <v>5.0</v>
      </c>
      <c r="F218" s="6">
        <v>12363.05</v>
      </c>
      <c r="G218" s="2" t="s">
        <v>717</v>
      </c>
      <c r="H218" s="2" t="s">
        <v>718</v>
      </c>
      <c r="I218" s="2" t="s">
        <v>719</v>
      </c>
    </row>
    <row r="219" ht="15.75" customHeight="1">
      <c r="A219" s="1">
        <v>45594.0</v>
      </c>
      <c r="B219" s="2" t="s">
        <v>57</v>
      </c>
      <c r="C219" s="2" t="s">
        <v>256</v>
      </c>
      <c r="D219" s="5">
        <v>1741.09</v>
      </c>
      <c r="E219" s="5">
        <v>4.0</v>
      </c>
      <c r="F219" s="6">
        <v>6964.36</v>
      </c>
      <c r="G219" s="2" t="s">
        <v>720</v>
      </c>
      <c r="H219" s="2" t="s">
        <v>721</v>
      </c>
      <c r="I219" s="2" t="s">
        <v>722</v>
      </c>
    </row>
    <row r="220" ht="15.75" customHeight="1">
      <c r="A220" s="1">
        <v>45594.0</v>
      </c>
      <c r="B220" s="3" t="s">
        <v>29</v>
      </c>
      <c r="C220" s="2" t="s">
        <v>115</v>
      </c>
      <c r="D220" s="5">
        <v>1290.52</v>
      </c>
      <c r="E220" s="5">
        <v>3.0</v>
      </c>
      <c r="F220" s="6">
        <v>3871.56</v>
      </c>
      <c r="G220" s="2" t="s">
        <v>723</v>
      </c>
      <c r="H220" s="2" t="s">
        <v>724</v>
      </c>
      <c r="I220" s="2" t="s">
        <v>725</v>
      </c>
    </row>
    <row r="221" ht="15.75" customHeight="1">
      <c r="A221" s="1">
        <v>45594.0</v>
      </c>
      <c r="B221" s="2" t="s">
        <v>57</v>
      </c>
      <c r="C221" s="2" t="s">
        <v>123</v>
      </c>
      <c r="D221" s="5">
        <v>1598.45</v>
      </c>
      <c r="E221" s="5">
        <v>3.0</v>
      </c>
      <c r="F221" s="6">
        <v>4795.35</v>
      </c>
      <c r="G221" s="2" t="s">
        <v>726</v>
      </c>
      <c r="H221" s="2" t="s">
        <v>727</v>
      </c>
      <c r="I221" s="2" t="s">
        <v>728</v>
      </c>
    </row>
    <row r="222" ht="15.75" customHeight="1">
      <c r="A222" s="1">
        <v>45594.0</v>
      </c>
      <c r="B222" s="2" t="s">
        <v>34</v>
      </c>
      <c r="C222" s="2" t="s">
        <v>62</v>
      </c>
      <c r="D222" s="5">
        <v>1156.44</v>
      </c>
      <c r="E222" s="5">
        <v>1.0</v>
      </c>
      <c r="F222" s="6">
        <v>1156.44</v>
      </c>
      <c r="G222" s="2" t="s">
        <v>729</v>
      </c>
      <c r="H222" s="2" t="s">
        <v>730</v>
      </c>
      <c r="I222" s="2" t="s">
        <v>731</v>
      </c>
    </row>
    <row r="223" ht="15.75" customHeight="1">
      <c r="A223" s="1">
        <v>45594.0</v>
      </c>
      <c r="B223" s="2" t="s">
        <v>14</v>
      </c>
      <c r="C223" s="2" t="s">
        <v>30</v>
      </c>
      <c r="D223" s="5">
        <v>288.29</v>
      </c>
      <c r="E223" s="5">
        <v>3.0</v>
      </c>
      <c r="F223" s="6">
        <v>864.87</v>
      </c>
      <c r="G223" s="2" t="s">
        <v>732</v>
      </c>
      <c r="H223" s="2" t="s">
        <v>733</v>
      </c>
      <c r="I223" s="2" t="s">
        <v>734</v>
      </c>
    </row>
    <row r="224" ht="15.75" customHeight="1">
      <c r="A224" s="1">
        <v>45594.0</v>
      </c>
      <c r="B224" s="2" t="s">
        <v>74</v>
      </c>
      <c r="C224" s="2" t="s">
        <v>179</v>
      </c>
      <c r="D224" s="5">
        <v>1164.32</v>
      </c>
      <c r="E224" s="5">
        <v>3.0</v>
      </c>
      <c r="F224" s="6">
        <v>3492.96</v>
      </c>
      <c r="G224" s="2" t="s">
        <v>735</v>
      </c>
      <c r="H224" s="2" t="s">
        <v>736</v>
      </c>
      <c r="I224" s="2" t="s">
        <v>737</v>
      </c>
    </row>
    <row r="225" ht="15.75" customHeight="1">
      <c r="A225" s="1">
        <v>45594.0</v>
      </c>
      <c r="B225" s="2" t="s">
        <v>57</v>
      </c>
      <c r="C225" s="2" t="s">
        <v>35</v>
      </c>
      <c r="D225" s="5">
        <v>429.21</v>
      </c>
      <c r="E225" s="5">
        <v>5.0</v>
      </c>
      <c r="F225" s="6">
        <v>2146.05</v>
      </c>
      <c r="G225" s="2" t="s">
        <v>738</v>
      </c>
      <c r="H225" s="2" t="s">
        <v>739</v>
      </c>
      <c r="I225" s="2" t="s">
        <v>740</v>
      </c>
    </row>
    <row r="226" ht="15.75" customHeight="1">
      <c r="A226" s="1">
        <v>45594.0</v>
      </c>
      <c r="B226" s="2" t="s">
        <v>74</v>
      </c>
      <c r="C226" s="2" t="s">
        <v>215</v>
      </c>
      <c r="D226" s="5">
        <v>847.32</v>
      </c>
      <c r="E226" s="5">
        <v>5.0</v>
      </c>
      <c r="F226" s="6">
        <v>4236.6</v>
      </c>
      <c r="G226" s="2" t="s">
        <v>741</v>
      </c>
      <c r="H226" s="2" t="s">
        <v>742</v>
      </c>
      <c r="I226" s="2" t="s">
        <v>743</v>
      </c>
    </row>
    <row r="227" ht="15.75" customHeight="1">
      <c r="A227" s="1">
        <v>45594.0</v>
      </c>
      <c r="B227" s="3" t="s">
        <v>29</v>
      </c>
      <c r="C227" s="2" t="s">
        <v>35</v>
      </c>
      <c r="D227" s="5">
        <v>509.58</v>
      </c>
      <c r="E227" s="5">
        <v>3.0</v>
      </c>
      <c r="F227" s="6">
        <v>1528.74</v>
      </c>
      <c r="G227" s="2" t="s">
        <v>744</v>
      </c>
      <c r="H227" s="2" t="s">
        <v>745</v>
      </c>
      <c r="I227" s="2" t="s">
        <v>746</v>
      </c>
    </row>
    <row r="228" ht="15.75" customHeight="1">
      <c r="A228" s="1">
        <v>45594.0</v>
      </c>
      <c r="B228" s="2" t="s">
        <v>57</v>
      </c>
      <c r="C228" s="2" t="s">
        <v>53</v>
      </c>
      <c r="D228" s="5">
        <v>2248.35</v>
      </c>
      <c r="E228" s="5">
        <v>5.0</v>
      </c>
      <c r="F228" s="6">
        <v>11241.75</v>
      </c>
      <c r="G228" s="2" t="s">
        <v>747</v>
      </c>
      <c r="H228" s="2" t="s">
        <v>748</v>
      </c>
      <c r="I228" s="2" t="s">
        <v>749</v>
      </c>
    </row>
    <row r="229" ht="15.75" customHeight="1">
      <c r="A229" s="1">
        <v>45594.0</v>
      </c>
      <c r="B229" s="3" t="s">
        <v>29</v>
      </c>
      <c r="C229" s="2" t="s">
        <v>279</v>
      </c>
      <c r="D229" s="5">
        <v>2388.79</v>
      </c>
      <c r="E229" s="5">
        <v>2.0</v>
      </c>
      <c r="F229" s="6">
        <v>4777.58</v>
      </c>
      <c r="G229" s="2" t="s">
        <v>750</v>
      </c>
      <c r="H229" s="2" t="s">
        <v>751</v>
      </c>
      <c r="I229" s="2" t="s">
        <v>752</v>
      </c>
    </row>
    <row r="230" ht="15.75" customHeight="1">
      <c r="A230" s="1">
        <v>45594.0</v>
      </c>
      <c r="B230" s="3" t="s">
        <v>29</v>
      </c>
      <c r="C230" s="2" t="s">
        <v>222</v>
      </c>
      <c r="D230" s="5">
        <v>2343.81</v>
      </c>
      <c r="E230" s="5">
        <v>4.0</v>
      </c>
      <c r="F230" s="6">
        <v>9375.24</v>
      </c>
      <c r="G230" s="2" t="s">
        <v>753</v>
      </c>
      <c r="H230" s="2" t="s">
        <v>754</v>
      </c>
      <c r="I230" s="2" t="s">
        <v>755</v>
      </c>
    </row>
    <row r="231" ht="15.75" customHeight="1">
      <c r="A231" s="1">
        <v>45594.0</v>
      </c>
      <c r="B231" s="2" t="s">
        <v>14</v>
      </c>
      <c r="C231" s="2" t="s">
        <v>215</v>
      </c>
      <c r="D231" s="5">
        <v>140.58</v>
      </c>
      <c r="E231" s="5">
        <v>3.0</v>
      </c>
      <c r="F231" s="6">
        <v>421.74</v>
      </c>
      <c r="G231" s="2" t="s">
        <v>756</v>
      </c>
      <c r="H231" s="2" t="s">
        <v>757</v>
      </c>
      <c r="I231" s="2" t="s">
        <v>758</v>
      </c>
    </row>
    <row r="232" ht="15.75" customHeight="1">
      <c r="A232" s="1">
        <v>45594.0</v>
      </c>
      <c r="B232" s="3" t="s">
        <v>29</v>
      </c>
      <c r="C232" s="2" t="s">
        <v>119</v>
      </c>
      <c r="D232" s="5">
        <v>1292.41</v>
      </c>
      <c r="E232" s="5">
        <v>5.0</v>
      </c>
      <c r="F232" s="6">
        <v>6462.05</v>
      </c>
      <c r="G232" s="2" t="s">
        <v>759</v>
      </c>
      <c r="H232" s="2" t="s">
        <v>760</v>
      </c>
      <c r="I232" s="2" t="s">
        <v>761</v>
      </c>
    </row>
    <row r="233" ht="15.75" customHeight="1">
      <c r="A233" s="1">
        <v>45595.0</v>
      </c>
      <c r="B233" s="2" t="s">
        <v>57</v>
      </c>
      <c r="C233" s="2" t="s">
        <v>161</v>
      </c>
      <c r="D233" s="5">
        <v>1099.54</v>
      </c>
      <c r="E233" s="5">
        <v>2.0</v>
      </c>
      <c r="F233" s="6">
        <v>2199.08</v>
      </c>
      <c r="G233" s="2" t="s">
        <v>762</v>
      </c>
      <c r="H233" s="2" t="s">
        <v>763</v>
      </c>
      <c r="I233" s="2" t="s">
        <v>764</v>
      </c>
    </row>
    <row r="234" ht="15.75" customHeight="1">
      <c r="A234" s="1">
        <v>45595.0</v>
      </c>
      <c r="B234" s="2" t="s">
        <v>74</v>
      </c>
      <c r="C234" s="2" t="s">
        <v>30</v>
      </c>
      <c r="D234" s="5">
        <v>2317.48</v>
      </c>
      <c r="E234" s="5">
        <v>1.0</v>
      </c>
      <c r="F234" s="6">
        <v>2317.48</v>
      </c>
      <c r="G234" s="2" t="s">
        <v>765</v>
      </c>
      <c r="H234" s="2" t="s">
        <v>766</v>
      </c>
      <c r="I234" s="2" t="s">
        <v>767</v>
      </c>
    </row>
    <row r="235" ht="15.75" customHeight="1">
      <c r="A235" s="1">
        <v>45595.0</v>
      </c>
      <c r="B235" s="2" t="s">
        <v>57</v>
      </c>
      <c r="C235" s="2" t="s">
        <v>92</v>
      </c>
      <c r="D235" s="5">
        <v>797.71</v>
      </c>
      <c r="E235" s="5">
        <v>1.0</v>
      </c>
      <c r="F235" s="6">
        <v>797.71</v>
      </c>
      <c r="G235" s="2" t="s">
        <v>768</v>
      </c>
      <c r="H235" s="2" t="s">
        <v>769</v>
      </c>
      <c r="I235" s="2" t="s">
        <v>770</v>
      </c>
    </row>
    <row r="236" ht="15.75" customHeight="1">
      <c r="A236" s="1">
        <v>45595.0</v>
      </c>
      <c r="B236" s="2" t="s">
        <v>34</v>
      </c>
      <c r="C236" s="2" t="s">
        <v>252</v>
      </c>
      <c r="D236" s="5">
        <v>1861.0</v>
      </c>
      <c r="E236" s="5">
        <v>5.0</v>
      </c>
      <c r="F236" s="6">
        <v>9305.0</v>
      </c>
      <c r="G236" s="2" t="s">
        <v>771</v>
      </c>
      <c r="H236" s="2" t="s">
        <v>772</v>
      </c>
      <c r="I236" s="2" t="s">
        <v>773</v>
      </c>
    </row>
    <row r="237" ht="15.75" customHeight="1">
      <c r="A237" s="1">
        <v>45595.0</v>
      </c>
      <c r="B237" s="2" t="s">
        <v>34</v>
      </c>
      <c r="C237" s="2" t="s">
        <v>58</v>
      </c>
      <c r="D237" s="5">
        <v>201.31</v>
      </c>
      <c r="E237" s="5">
        <v>5.0</v>
      </c>
      <c r="F237" s="6">
        <v>1006.55</v>
      </c>
      <c r="G237" s="2" t="s">
        <v>774</v>
      </c>
      <c r="H237" s="2" t="s">
        <v>775</v>
      </c>
      <c r="I237" s="2" t="s">
        <v>776</v>
      </c>
    </row>
    <row r="238" ht="15.75" customHeight="1">
      <c r="A238" s="1">
        <v>45596.0</v>
      </c>
      <c r="B238" s="2" t="s">
        <v>87</v>
      </c>
      <c r="C238" s="2" t="s">
        <v>161</v>
      </c>
      <c r="D238" s="5">
        <v>1889.28</v>
      </c>
      <c r="E238" s="5">
        <v>4.0</v>
      </c>
      <c r="F238" s="6">
        <v>7557.12</v>
      </c>
      <c r="G238" s="2" t="s">
        <v>777</v>
      </c>
      <c r="H238" s="2" t="s">
        <v>778</v>
      </c>
      <c r="I238" s="2" t="s">
        <v>779</v>
      </c>
    </row>
    <row r="239" ht="15.75" customHeight="1">
      <c r="A239" s="1">
        <v>45596.0</v>
      </c>
      <c r="B239" s="2" t="s">
        <v>14</v>
      </c>
      <c r="C239" s="2" t="s">
        <v>341</v>
      </c>
      <c r="D239" s="5">
        <v>1451.3</v>
      </c>
      <c r="E239" s="5">
        <v>2.0</v>
      </c>
      <c r="F239" s="6">
        <v>2902.6</v>
      </c>
      <c r="G239" s="2" t="s">
        <v>780</v>
      </c>
      <c r="H239" s="2" t="s">
        <v>781</v>
      </c>
      <c r="I239" s="2" t="s">
        <v>782</v>
      </c>
    </row>
    <row r="240" ht="15.75" customHeight="1">
      <c r="A240" s="1">
        <v>45596.0</v>
      </c>
      <c r="B240" s="2" t="s">
        <v>34</v>
      </c>
      <c r="C240" s="2" t="s">
        <v>62</v>
      </c>
      <c r="D240" s="5">
        <v>2266.71</v>
      </c>
      <c r="E240" s="5">
        <v>2.0</v>
      </c>
      <c r="F240" s="6">
        <v>4533.42</v>
      </c>
      <c r="G240" s="2" t="s">
        <v>783</v>
      </c>
      <c r="H240" s="2" t="s">
        <v>784</v>
      </c>
      <c r="I240" s="2" t="s">
        <v>785</v>
      </c>
    </row>
    <row r="241" ht="15.75" customHeight="1">
      <c r="A241" s="1">
        <v>45596.0</v>
      </c>
      <c r="B241" s="2" t="s">
        <v>14</v>
      </c>
      <c r="C241" s="2" t="s">
        <v>66</v>
      </c>
      <c r="D241" s="5">
        <v>287.48</v>
      </c>
      <c r="E241" s="5">
        <v>4.0</v>
      </c>
      <c r="F241" s="6">
        <v>1149.92</v>
      </c>
      <c r="G241" s="2" t="s">
        <v>786</v>
      </c>
      <c r="H241" s="2" t="s">
        <v>787</v>
      </c>
      <c r="I241" s="2" t="s">
        <v>788</v>
      </c>
    </row>
    <row r="242" ht="15.75" customHeight="1">
      <c r="A242" s="1">
        <v>45596.0</v>
      </c>
      <c r="B242" s="2" t="s">
        <v>74</v>
      </c>
      <c r="C242" s="2" t="s">
        <v>316</v>
      </c>
      <c r="D242" s="5">
        <v>1758.16</v>
      </c>
      <c r="E242" s="5">
        <v>5.0</v>
      </c>
      <c r="F242" s="6">
        <v>8790.8</v>
      </c>
      <c r="G242" s="2" t="s">
        <v>789</v>
      </c>
      <c r="H242" s="2" t="s">
        <v>790</v>
      </c>
      <c r="I242" s="2" t="s">
        <v>791</v>
      </c>
    </row>
    <row r="243" ht="15.75" customHeight="1">
      <c r="A243" s="1">
        <v>45596.0</v>
      </c>
      <c r="B243" s="2" t="s">
        <v>34</v>
      </c>
      <c r="C243" s="2" t="s">
        <v>137</v>
      </c>
      <c r="D243" s="5">
        <v>273.01</v>
      </c>
      <c r="E243" s="5">
        <v>1.0</v>
      </c>
      <c r="F243" s="6">
        <v>273.01</v>
      </c>
      <c r="G243" s="2" t="s">
        <v>792</v>
      </c>
      <c r="H243" s="2" t="s">
        <v>793</v>
      </c>
      <c r="I243" s="2" t="s">
        <v>794</v>
      </c>
    </row>
    <row r="244" ht="15.75" customHeight="1">
      <c r="A244" s="1">
        <v>45597.0</v>
      </c>
      <c r="B244" s="2" t="s">
        <v>74</v>
      </c>
      <c r="C244" s="2" t="s">
        <v>269</v>
      </c>
      <c r="D244" s="5">
        <v>434.9</v>
      </c>
      <c r="E244" s="5">
        <v>1.0</v>
      </c>
      <c r="F244" s="6">
        <v>434.9</v>
      </c>
      <c r="G244" s="2" t="s">
        <v>795</v>
      </c>
      <c r="H244" s="2" t="s">
        <v>796</v>
      </c>
      <c r="I244" s="2" t="s">
        <v>797</v>
      </c>
    </row>
    <row r="245" ht="15.75" customHeight="1">
      <c r="A245" s="1">
        <v>45597.0</v>
      </c>
      <c r="B245" s="2" t="s">
        <v>9</v>
      </c>
      <c r="C245" s="2" t="s">
        <v>161</v>
      </c>
      <c r="D245" s="5">
        <v>719.59</v>
      </c>
      <c r="E245" s="5">
        <v>3.0</v>
      </c>
      <c r="F245" s="6">
        <v>2158.77</v>
      </c>
      <c r="G245" s="2" t="s">
        <v>798</v>
      </c>
      <c r="H245" s="2" t="s">
        <v>799</v>
      </c>
      <c r="I245" s="2" t="s">
        <v>800</v>
      </c>
    </row>
    <row r="246" ht="15.75" customHeight="1">
      <c r="A246" s="1">
        <v>45597.0</v>
      </c>
      <c r="B246" s="2" t="s">
        <v>57</v>
      </c>
      <c r="C246" s="2" t="s">
        <v>119</v>
      </c>
      <c r="D246" s="5">
        <v>1912.53</v>
      </c>
      <c r="E246" s="5">
        <v>1.0</v>
      </c>
      <c r="F246" s="6">
        <v>1912.53</v>
      </c>
      <c r="G246" s="2" t="s">
        <v>801</v>
      </c>
      <c r="H246" s="2" t="s">
        <v>802</v>
      </c>
      <c r="I246" s="2" t="s">
        <v>803</v>
      </c>
    </row>
    <row r="247" ht="15.75" customHeight="1">
      <c r="A247" s="1">
        <v>45597.0</v>
      </c>
      <c r="B247" s="2" t="s">
        <v>34</v>
      </c>
      <c r="C247" s="2" t="s">
        <v>70</v>
      </c>
      <c r="D247" s="5">
        <v>2196.83</v>
      </c>
      <c r="E247" s="5">
        <v>5.0</v>
      </c>
      <c r="F247" s="6">
        <v>10984.15</v>
      </c>
      <c r="G247" s="2" t="s">
        <v>804</v>
      </c>
      <c r="H247" s="2" t="s">
        <v>805</v>
      </c>
      <c r="I247" s="2" t="s">
        <v>806</v>
      </c>
    </row>
    <row r="248" ht="15.75" customHeight="1">
      <c r="A248" s="1">
        <v>45597.0</v>
      </c>
      <c r="B248" s="2" t="s">
        <v>14</v>
      </c>
      <c r="C248" s="2" t="s">
        <v>427</v>
      </c>
      <c r="D248" s="5">
        <v>1992.15</v>
      </c>
      <c r="E248" s="5">
        <v>2.0</v>
      </c>
      <c r="F248" s="6">
        <v>3984.3</v>
      </c>
      <c r="G248" s="2" t="s">
        <v>807</v>
      </c>
      <c r="H248" s="2" t="s">
        <v>808</v>
      </c>
      <c r="I248" s="2" t="s">
        <v>809</v>
      </c>
    </row>
    <row r="249" ht="15.75" customHeight="1">
      <c r="A249" s="1">
        <v>45598.0</v>
      </c>
      <c r="B249" s="2" t="s">
        <v>34</v>
      </c>
      <c r="C249" s="2" t="s">
        <v>130</v>
      </c>
      <c r="D249" s="5">
        <v>1291.38</v>
      </c>
      <c r="E249" s="5">
        <v>4.0</v>
      </c>
      <c r="F249" s="6">
        <v>5165.52</v>
      </c>
      <c r="G249" s="2" t="s">
        <v>810</v>
      </c>
      <c r="H249" s="2" t="s">
        <v>811</v>
      </c>
      <c r="I249" s="2" t="s">
        <v>812</v>
      </c>
    </row>
    <row r="250" ht="15.75" customHeight="1">
      <c r="A250" s="1">
        <v>45598.0</v>
      </c>
      <c r="B250" s="2" t="s">
        <v>14</v>
      </c>
      <c r="C250" s="2" t="s">
        <v>35</v>
      </c>
      <c r="D250" s="5">
        <v>1522.98</v>
      </c>
      <c r="E250" s="5">
        <v>1.0</v>
      </c>
      <c r="F250" s="6">
        <v>1522.98</v>
      </c>
      <c r="G250" s="2" t="s">
        <v>813</v>
      </c>
      <c r="H250" s="2" t="s">
        <v>814</v>
      </c>
      <c r="I250" s="2" t="s">
        <v>815</v>
      </c>
    </row>
    <row r="251" ht="15.75" customHeight="1">
      <c r="A251" s="1">
        <v>45598.0</v>
      </c>
      <c r="B251" s="2" t="s">
        <v>57</v>
      </c>
      <c r="C251" s="2" t="s">
        <v>58</v>
      </c>
      <c r="D251" s="5">
        <v>1688.92</v>
      </c>
      <c r="E251" s="5">
        <v>5.0</v>
      </c>
      <c r="F251" s="6">
        <v>8444.6</v>
      </c>
      <c r="G251" s="2" t="s">
        <v>816</v>
      </c>
      <c r="H251" s="2" t="s">
        <v>817</v>
      </c>
      <c r="I251" s="2" t="s">
        <v>818</v>
      </c>
    </row>
    <row r="252" ht="15.75" customHeight="1">
      <c r="A252" s="1">
        <v>45599.0</v>
      </c>
      <c r="B252" s="2" t="s">
        <v>9</v>
      </c>
      <c r="C252" s="2" t="s">
        <v>161</v>
      </c>
      <c r="D252" s="5">
        <v>2157.37</v>
      </c>
      <c r="E252" s="5">
        <v>5.0</v>
      </c>
      <c r="F252" s="6">
        <v>10786.85</v>
      </c>
      <c r="G252" s="2" t="s">
        <v>819</v>
      </c>
      <c r="H252" s="2" t="s">
        <v>820</v>
      </c>
      <c r="I252" s="2" t="s">
        <v>821</v>
      </c>
    </row>
    <row r="253" ht="15.75" customHeight="1">
      <c r="A253" s="1">
        <v>45599.0</v>
      </c>
      <c r="B253" s="2" t="s">
        <v>57</v>
      </c>
      <c r="C253" s="2" t="s">
        <v>269</v>
      </c>
      <c r="D253" s="5">
        <v>642.49</v>
      </c>
      <c r="E253" s="5">
        <v>4.0</v>
      </c>
      <c r="F253" s="6">
        <v>2569.96</v>
      </c>
      <c r="G253" s="2" t="s">
        <v>822</v>
      </c>
      <c r="H253" s="2" t="s">
        <v>823</v>
      </c>
      <c r="I253" s="2" t="s">
        <v>824</v>
      </c>
    </row>
    <row r="254" ht="15.75" customHeight="1">
      <c r="A254" s="1">
        <v>45600.0</v>
      </c>
      <c r="B254" s="2" t="s">
        <v>34</v>
      </c>
      <c r="C254" s="2" t="s">
        <v>289</v>
      </c>
      <c r="D254" s="5">
        <v>2114.2</v>
      </c>
      <c r="E254" s="5">
        <v>5.0</v>
      </c>
      <c r="F254" s="6">
        <v>10571.0</v>
      </c>
      <c r="G254" s="2" t="s">
        <v>825</v>
      </c>
      <c r="H254" s="2" t="s">
        <v>826</v>
      </c>
      <c r="I254" s="2" t="s">
        <v>827</v>
      </c>
    </row>
    <row r="255" ht="15.75" customHeight="1">
      <c r="A255" s="1">
        <v>45600.0</v>
      </c>
      <c r="B255" s="2" t="s">
        <v>14</v>
      </c>
      <c r="C255" s="2" t="s">
        <v>88</v>
      </c>
      <c r="D255" s="5">
        <v>1491.19</v>
      </c>
      <c r="E255" s="5">
        <v>5.0</v>
      </c>
      <c r="F255" s="6">
        <v>7455.95</v>
      </c>
      <c r="G255" s="2" t="s">
        <v>828</v>
      </c>
      <c r="H255" s="2" t="s">
        <v>829</v>
      </c>
      <c r="I255" s="2" t="s">
        <v>830</v>
      </c>
    </row>
    <row r="256" ht="15.75" customHeight="1">
      <c r="A256" s="1">
        <v>45600.0</v>
      </c>
      <c r="B256" s="2" t="s">
        <v>57</v>
      </c>
      <c r="C256" s="2" t="s">
        <v>130</v>
      </c>
      <c r="D256" s="5">
        <v>1849.07</v>
      </c>
      <c r="E256" s="5">
        <v>5.0</v>
      </c>
      <c r="F256" s="6">
        <v>9245.35</v>
      </c>
      <c r="G256" s="2" t="s">
        <v>831</v>
      </c>
      <c r="H256" s="2" t="s">
        <v>832</v>
      </c>
      <c r="I256" s="2" t="s">
        <v>833</v>
      </c>
    </row>
    <row r="257" ht="15.75" customHeight="1">
      <c r="A257" s="1">
        <v>45600.0</v>
      </c>
      <c r="B257" s="2" t="s">
        <v>34</v>
      </c>
      <c r="C257" s="2" t="s">
        <v>834</v>
      </c>
      <c r="D257" s="5">
        <v>1612.87</v>
      </c>
      <c r="E257" s="5">
        <v>4.0</v>
      </c>
      <c r="F257" s="6">
        <v>6451.48</v>
      </c>
      <c r="G257" s="2" t="s">
        <v>835</v>
      </c>
      <c r="H257" s="2" t="s">
        <v>836</v>
      </c>
      <c r="I257" s="2" t="s">
        <v>837</v>
      </c>
    </row>
    <row r="258" ht="15.75" customHeight="1">
      <c r="A258" s="1">
        <v>45601.0</v>
      </c>
      <c r="B258" s="2" t="s">
        <v>74</v>
      </c>
      <c r="C258" s="2" t="s">
        <v>119</v>
      </c>
      <c r="D258" s="5">
        <v>670.67</v>
      </c>
      <c r="E258" s="5">
        <v>4.0</v>
      </c>
      <c r="F258" s="6">
        <v>2682.68</v>
      </c>
      <c r="G258" s="2" t="s">
        <v>838</v>
      </c>
      <c r="H258" s="2" t="s">
        <v>839</v>
      </c>
      <c r="I258" s="2" t="s">
        <v>840</v>
      </c>
    </row>
    <row r="259" ht="15.75" customHeight="1">
      <c r="A259" s="1">
        <v>45601.0</v>
      </c>
      <c r="B259" s="3" t="s">
        <v>29</v>
      </c>
      <c r="C259" s="2" t="s">
        <v>151</v>
      </c>
      <c r="D259" s="5">
        <v>1040.78</v>
      </c>
      <c r="E259" s="5">
        <v>2.0</v>
      </c>
      <c r="F259" s="6">
        <v>2081.56</v>
      </c>
      <c r="G259" s="2" t="s">
        <v>841</v>
      </c>
      <c r="H259" s="2" t="s">
        <v>842</v>
      </c>
      <c r="I259" s="2" t="s">
        <v>843</v>
      </c>
    </row>
    <row r="260" ht="15.75" customHeight="1">
      <c r="A260" s="1">
        <v>45601.0</v>
      </c>
      <c r="B260" s="3" t="s">
        <v>29</v>
      </c>
      <c r="C260" s="2" t="s">
        <v>256</v>
      </c>
      <c r="D260" s="5">
        <v>1050.44</v>
      </c>
      <c r="E260" s="5">
        <v>5.0</v>
      </c>
      <c r="F260" s="6">
        <v>5252.2</v>
      </c>
      <c r="G260" s="2" t="s">
        <v>844</v>
      </c>
      <c r="H260" s="2" t="s">
        <v>845</v>
      </c>
      <c r="I260" s="2" t="s">
        <v>846</v>
      </c>
    </row>
    <row r="261" ht="15.75" customHeight="1">
      <c r="A261" s="8">
        <v>45601.0</v>
      </c>
      <c r="B261" s="2" t="s">
        <v>87</v>
      </c>
      <c r="C261" s="2" t="s">
        <v>222</v>
      </c>
      <c r="D261" s="5">
        <v>808.32</v>
      </c>
      <c r="E261" s="5">
        <v>4.0</v>
      </c>
      <c r="F261" s="6">
        <v>3233.28</v>
      </c>
      <c r="G261" s="2" t="s">
        <v>847</v>
      </c>
      <c r="H261" s="2" t="s">
        <v>848</v>
      </c>
      <c r="I261" s="2" t="s">
        <v>849</v>
      </c>
    </row>
    <row r="262" ht="15.75" customHeight="1">
      <c r="A262" s="1">
        <v>45601.0</v>
      </c>
      <c r="B262" s="3" t="s">
        <v>29</v>
      </c>
      <c r="C262" s="2" t="s">
        <v>289</v>
      </c>
      <c r="D262" s="5">
        <v>2092.87</v>
      </c>
      <c r="E262" s="5">
        <v>4.0</v>
      </c>
      <c r="F262" s="6">
        <v>8371.48</v>
      </c>
      <c r="G262" s="2" t="s">
        <v>850</v>
      </c>
      <c r="H262" s="2" t="s">
        <v>851</v>
      </c>
      <c r="I262" s="2" t="s">
        <v>852</v>
      </c>
    </row>
    <row r="263" ht="15.75" customHeight="1">
      <c r="A263" s="1">
        <v>45601.0</v>
      </c>
      <c r="B263" s="2" t="s">
        <v>57</v>
      </c>
      <c r="C263" s="2" t="s">
        <v>289</v>
      </c>
      <c r="D263" s="5">
        <v>1826.03</v>
      </c>
      <c r="E263" s="5">
        <v>2.0</v>
      </c>
      <c r="F263" s="6">
        <v>3652.06</v>
      </c>
      <c r="G263" s="2" t="s">
        <v>853</v>
      </c>
      <c r="H263" s="2" t="s">
        <v>854</v>
      </c>
      <c r="I263" s="2" t="s">
        <v>855</v>
      </c>
    </row>
    <row r="264" ht="15.75" customHeight="1">
      <c r="A264" s="1">
        <v>45602.0</v>
      </c>
      <c r="B264" s="2" t="s">
        <v>14</v>
      </c>
      <c r="C264" s="2" t="s">
        <v>226</v>
      </c>
      <c r="D264" s="5">
        <v>1945.67</v>
      </c>
      <c r="E264" s="5">
        <v>4.0</v>
      </c>
      <c r="F264" s="6">
        <v>7782.68</v>
      </c>
      <c r="G264" s="2" t="s">
        <v>856</v>
      </c>
      <c r="H264" s="2" t="s">
        <v>857</v>
      </c>
      <c r="I264" s="2" t="s">
        <v>858</v>
      </c>
    </row>
    <row r="265" ht="15.75" customHeight="1">
      <c r="A265" s="1">
        <v>45602.0</v>
      </c>
      <c r="B265" s="2" t="s">
        <v>34</v>
      </c>
      <c r="C265" s="2" t="s">
        <v>427</v>
      </c>
      <c r="D265" s="5">
        <v>949.27</v>
      </c>
      <c r="E265" s="5">
        <v>2.0</v>
      </c>
      <c r="F265" s="6">
        <v>1898.54</v>
      </c>
      <c r="G265" s="2" t="s">
        <v>859</v>
      </c>
      <c r="H265" s="2" t="s">
        <v>860</v>
      </c>
      <c r="I265" s="2" t="s">
        <v>861</v>
      </c>
    </row>
    <row r="266" ht="15.75" customHeight="1">
      <c r="A266" s="1">
        <v>45603.0</v>
      </c>
      <c r="B266" s="3" t="s">
        <v>29</v>
      </c>
      <c r="C266" s="2" t="s">
        <v>66</v>
      </c>
      <c r="D266" s="5">
        <v>127.95</v>
      </c>
      <c r="E266" s="5">
        <v>4.0</v>
      </c>
      <c r="F266" s="6">
        <v>511.8</v>
      </c>
      <c r="G266" s="2" t="s">
        <v>862</v>
      </c>
      <c r="H266" s="2" t="s">
        <v>863</v>
      </c>
      <c r="I266" s="2" t="s">
        <v>864</v>
      </c>
    </row>
    <row r="267" ht="15.75" customHeight="1">
      <c r="A267" s="1">
        <v>45603.0</v>
      </c>
      <c r="B267" s="2" t="s">
        <v>74</v>
      </c>
      <c r="C267" s="2" t="s">
        <v>662</v>
      </c>
      <c r="D267" s="5">
        <v>371.34</v>
      </c>
      <c r="E267" s="5">
        <v>3.0</v>
      </c>
      <c r="F267" s="6">
        <v>1114.02</v>
      </c>
      <c r="G267" s="2" t="s">
        <v>865</v>
      </c>
      <c r="H267" s="2" t="s">
        <v>866</v>
      </c>
      <c r="I267" s="2" t="s">
        <v>867</v>
      </c>
    </row>
    <row r="268" ht="15.75" customHeight="1">
      <c r="A268" s="1">
        <v>45603.0</v>
      </c>
      <c r="B268" s="2" t="s">
        <v>34</v>
      </c>
      <c r="C268" s="2" t="s">
        <v>92</v>
      </c>
      <c r="D268" s="5">
        <v>700.01</v>
      </c>
      <c r="E268" s="5">
        <v>3.0</v>
      </c>
      <c r="F268" s="6">
        <v>2100.03</v>
      </c>
      <c r="G268" s="2" t="s">
        <v>868</v>
      </c>
      <c r="H268" s="2" t="s">
        <v>869</v>
      </c>
      <c r="I268" s="2" t="s">
        <v>870</v>
      </c>
    </row>
    <row r="269" ht="15.75" customHeight="1">
      <c r="A269" s="1">
        <v>45603.0</v>
      </c>
      <c r="B269" s="2" t="s">
        <v>74</v>
      </c>
      <c r="C269" s="2" t="s">
        <v>386</v>
      </c>
      <c r="D269" s="5">
        <v>2242.24</v>
      </c>
      <c r="E269" s="5">
        <v>1.0</v>
      </c>
      <c r="F269" s="6">
        <v>2242.24</v>
      </c>
      <c r="G269" s="2" t="s">
        <v>871</v>
      </c>
      <c r="H269" s="2" t="s">
        <v>872</v>
      </c>
      <c r="I269" s="2" t="s">
        <v>873</v>
      </c>
    </row>
    <row r="270" ht="15.75" customHeight="1">
      <c r="A270" s="8">
        <v>45603.0</v>
      </c>
      <c r="B270" s="2" t="s">
        <v>14</v>
      </c>
      <c r="C270" s="2" t="s">
        <v>130</v>
      </c>
      <c r="D270" s="5">
        <v>1912.83</v>
      </c>
      <c r="E270" s="5">
        <v>2.0</v>
      </c>
      <c r="F270" s="6">
        <v>3825.66</v>
      </c>
      <c r="G270" s="2" t="s">
        <v>874</v>
      </c>
      <c r="H270" s="2" t="s">
        <v>875</v>
      </c>
      <c r="I270" s="2" t="s">
        <v>876</v>
      </c>
    </row>
    <row r="271" ht="15.75" customHeight="1">
      <c r="A271" s="8">
        <v>45603.0</v>
      </c>
      <c r="B271" s="2" t="s">
        <v>9</v>
      </c>
      <c r="C271" s="2" t="s">
        <v>119</v>
      </c>
      <c r="D271" s="5">
        <v>634.44</v>
      </c>
      <c r="E271" s="5">
        <v>4.0</v>
      </c>
      <c r="F271" s="6">
        <v>2537.76</v>
      </c>
      <c r="G271" s="2" t="s">
        <v>877</v>
      </c>
      <c r="H271" s="2" t="s">
        <v>878</v>
      </c>
      <c r="I271" s="2" t="s">
        <v>879</v>
      </c>
    </row>
    <row r="272" ht="15.75" customHeight="1">
      <c r="A272" s="8">
        <v>45603.0</v>
      </c>
      <c r="B272" s="2" t="s">
        <v>34</v>
      </c>
      <c r="C272" s="2" t="s">
        <v>252</v>
      </c>
      <c r="D272" s="5">
        <v>1270.75</v>
      </c>
      <c r="E272" s="5">
        <v>5.0</v>
      </c>
      <c r="F272" s="6">
        <v>6353.75</v>
      </c>
      <c r="G272" s="2" t="s">
        <v>880</v>
      </c>
      <c r="H272" s="2" t="s">
        <v>881</v>
      </c>
      <c r="I272" s="2" t="s">
        <v>882</v>
      </c>
    </row>
    <row r="273" ht="15.75" customHeight="1">
      <c r="A273" s="1">
        <v>45603.0</v>
      </c>
      <c r="B273" s="2" t="s">
        <v>14</v>
      </c>
      <c r="C273" s="2" t="s">
        <v>58</v>
      </c>
      <c r="D273" s="5">
        <v>841.48</v>
      </c>
      <c r="E273" s="5">
        <v>2.0</v>
      </c>
      <c r="F273" s="6">
        <v>1682.96</v>
      </c>
      <c r="G273" s="2" t="s">
        <v>883</v>
      </c>
      <c r="H273" s="2" t="s">
        <v>884</v>
      </c>
      <c r="I273" s="2" t="s">
        <v>885</v>
      </c>
    </row>
    <row r="274" ht="15.75" customHeight="1">
      <c r="A274" s="1">
        <v>45604.0</v>
      </c>
      <c r="B274" s="2" t="s">
        <v>34</v>
      </c>
      <c r="C274" s="2" t="s">
        <v>53</v>
      </c>
      <c r="D274" s="5">
        <v>1656.59</v>
      </c>
      <c r="E274" s="5">
        <v>1.0</v>
      </c>
      <c r="F274" s="6">
        <v>1656.59</v>
      </c>
      <c r="G274" s="2" t="s">
        <v>886</v>
      </c>
      <c r="H274" s="2" t="s">
        <v>887</v>
      </c>
      <c r="I274" s="2" t="s">
        <v>888</v>
      </c>
    </row>
    <row r="275" ht="15.75" customHeight="1">
      <c r="A275" s="1">
        <v>45604.0</v>
      </c>
      <c r="B275" s="2" t="s">
        <v>74</v>
      </c>
      <c r="C275" s="2" t="s">
        <v>215</v>
      </c>
      <c r="D275" s="5">
        <v>762.46</v>
      </c>
      <c r="E275" s="5">
        <v>1.0</v>
      </c>
      <c r="F275" s="6">
        <v>762.46</v>
      </c>
      <c r="G275" s="2" t="s">
        <v>889</v>
      </c>
      <c r="H275" s="2" t="s">
        <v>890</v>
      </c>
      <c r="I275" s="2" t="s">
        <v>891</v>
      </c>
    </row>
    <row r="276" ht="15.75" customHeight="1">
      <c r="A276" s="1">
        <v>45604.0</v>
      </c>
      <c r="B276" s="2" t="s">
        <v>9</v>
      </c>
      <c r="C276" s="2" t="s">
        <v>386</v>
      </c>
      <c r="D276" s="5">
        <v>1662.81</v>
      </c>
      <c r="E276" s="5">
        <v>5.0</v>
      </c>
      <c r="F276" s="6">
        <v>8314.05</v>
      </c>
      <c r="G276" s="2" t="s">
        <v>892</v>
      </c>
      <c r="H276" s="2" t="s">
        <v>893</v>
      </c>
      <c r="I276" s="2" t="s">
        <v>894</v>
      </c>
    </row>
    <row r="277" ht="15.75" customHeight="1">
      <c r="A277" s="1">
        <v>45604.0</v>
      </c>
      <c r="B277" s="2" t="s">
        <v>34</v>
      </c>
      <c r="C277" s="2" t="s">
        <v>269</v>
      </c>
      <c r="D277" s="5">
        <v>427.92</v>
      </c>
      <c r="E277" s="5">
        <v>2.0</v>
      </c>
      <c r="F277" s="6">
        <v>855.84</v>
      </c>
      <c r="G277" s="3" t="s">
        <v>895</v>
      </c>
      <c r="H277" s="2" t="s">
        <v>896</v>
      </c>
      <c r="I277" s="2" t="s">
        <v>897</v>
      </c>
    </row>
    <row r="278" ht="15.75" customHeight="1">
      <c r="A278" s="1">
        <v>45605.0</v>
      </c>
      <c r="B278" s="3" t="s">
        <v>29</v>
      </c>
      <c r="C278" s="2" t="s">
        <v>279</v>
      </c>
      <c r="D278" s="5">
        <v>271.11</v>
      </c>
      <c r="E278" s="5">
        <v>2.0</v>
      </c>
      <c r="F278" s="6">
        <v>542.22</v>
      </c>
      <c r="G278" s="2" t="s">
        <v>898</v>
      </c>
      <c r="H278" s="2" t="s">
        <v>899</v>
      </c>
      <c r="I278" s="2" t="s">
        <v>900</v>
      </c>
    </row>
    <row r="279" ht="15.75" customHeight="1">
      <c r="A279" s="1">
        <v>45605.0</v>
      </c>
      <c r="B279" s="2" t="s">
        <v>34</v>
      </c>
      <c r="C279" s="2" t="s">
        <v>386</v>
      </c>
      <c r="D279" s="5">
        <v>1112.81</v>
      </c>
      <c r="E279" s="5">
        <v>1.0</v>
      </c>
      <c r="F279" s="6">
        <v>1112.81</v>
      </c>
      <c r="G279" s="2" t="s">
        <v>901</v>
      </c>
      <c r="H279" s="2" t="s">
        <v>902</v>
      </c>
      <c r="I279" s="2" t="s">
        <v>903</v>
      </c>
    </row>
    <row r="280" ht="15.75" customHeight="1">
      <c r="A280" s="1">
        <v>45605.0</v>
      </c>
      <c r="B280" s="2" t="s">
        <v>34</v>
      </c>
      <c r="C280" s="2" t="s">
        <v>30</v>
      </c>
      <c r="D280" s="5">
        <v>720.63</v>
      </c>
      <c r="E280" s="5">
        <v>1.0</v>
      </c>
      <c r="F280" s="6">
        <v>720.63</v>
      </c>
      <c r="G280" s="2" t="s">
        <v>904</v>
      </c>
      <c r="H280" s="2" t="s">
        <v>905</v>
      </c>
      <c r="I280" s="2" t="s">
        <v>906</v>
      </c>
    </row>
    <row r="281" ht="15.75" customHeight="1">
      <c r="A281" s="1">
        <v>45605.0</v>
      </c>
      <c r="B281" s="2" t="s">
        <v>87</v>
      </c>
      <c r="C281" s="2" t="s">
        <v>386</v>
      </c>
      <c r="D281" s="5">
        <v>1111.98</v>
      </c>
      <c r="E281" s="5">
        <v>4.0</v>
      </c>
      <c r="F281" s="6">
        <v>4447.92</v>
      </c>
      <c r="G281" s="2" t="s">
        <v>907</v>
      </c>
      <c r="H281" s="2" t="s">
        <v>908</v>
      </c>
      <c r="I281" s="2" t="s">
        <v>909</v>
      </c>
    </row>
    <row r="282" ht="15.75" customHeight="1">
      <c r="A282" s="1">
        <v>45606.0</v>
      </c>
      <c r="B282" s="2" t="s">
        <v>34</v>
      </c>
      <c r="C282" s="2" t="s">
        <v>312</v>
      </c>
      <c r="D282" s="5">
        <v>763.62</v>
      </c>
      <c r="E282" s="5">
        <v>1.0</v>
      </c>
      <c r="F282" s="6">
        <v>763.62</v>
      </c>
      <c r="G282" s="2" t="s">
        <v>910</v>
      </c>
      <c r="H282" s="2" t="s">
        <v>911</v>
      </c>
      <c r="I282" s="2" t="s">
        <v>912</v>
      </c>
    </row>
    <row r="283" ht="15.75" customHeight="1">
      <c r="A283" s="1">
        <v>45606.0</v>
      </c>
      <c r="B283" s="3" t="s">
        <v>29</v>
      </c>
      <c r="C283" s="2" t="s">
        <v>386</v>
      </c>
      <c r="D283" s="5">
        <v>489.42</v>
      </c>
      <c r="E283" s="5">
        <v>3.0</v>
      </c>
      <c r="F283" s="6">
        <v>1468.26</v>
      </c>
      <c r="G283" s="2" t="s">
        <v>913</v>
      </c>
      <c r="H283" s="2" t="s">
        <v>914</v>
      </c>
      <c r="I283" s="7" t="s">
        <v>915</v>
      </c>
    </row>
    <row r="284" ht="15.75" customHeight="1">
      <c r="A284" s="1">
        <v>45606.0</v>
      </c>
      <c r="B284" s="2" t="s">
        <v>57</v>
      </c>
      <c r="C284" s="2" t="s">
        <v>370</v>
      </c>
      <c r="D284" s="5">
        <v>2356.5</v>
      </c>
      <c r="E284" s="5">
        <v>5.0</v>
      </c>
      <c r="F284" s="6">
        <v>11782.5</v>
      </c>
      <c r="G284" s="2" t="s">
        <v>916</v>
      </c>
      <c r="H284" s="2" t="s">
        <v>917</v>
      </c>
      <c r="I284" s="2" t="s">
        <v>918</v>
      </c>
    </row>
    <row r="285" ht="15.75" customHeight="1">
      <c r="A285" s="1">
        <v>45606.0</v>
      </c>
      <c r="B285" s="2" t="s">
        <v>9</v>
      </c>
      <c r="C285" s="2" t="s">
        <v>130</v>
      </c>
      <c r="D285" s="5">
        <v>56.71</v>
      </c>
      <c r="E285" s="5">
        <v>1.0</v>
      </c>
      <c r="F285" s="6">
        <v>56.71</v>
      </c>
      <c r="G285" s="2" t="s">
        <v>919</v>
      </c>
      <c r="H285" s="2" t="s">
        <v>920</v>
      </c>
      <c r="I285" s="2" t="s">
        <v>921</v>
      </c>
    </row>
    <row r="286" ht="15.75" customHeight="1">
      <c r="A286" s="1">
        <v>45606.0</v>
      </c>
      <c r="B286" s="2" t="s">
        <v>14</v>
      </c>
      <c r="C286" s="2" t="s">
        <v>10</v>
      </c>
      <c r="D286" s="5">
        <v>853.52</v>
      </c>
      <c r="E286" s="5">
        <v>5.0</v>
      </c>
      <c r="F286" s="6">
        <v>4267.6</v>
      </c>
      <c r="G286" s="2" t="s">
        <v>922</v>
      </c>
      <c r="H286" s="2" t="s">
        <v>923</v>
      </c>
      <c r="I286" s="2" t="s">
        <v>924</v>
      </c>
    </row>
    <row r="287" ht="15.75" customHeight="1">
      <c r="A287" s="1">
        <v>45606.0</v>
      </c>
      <c r="B287" s="2" t="s">
        <v>9</v>
      </c>
      <c r="C287" s="2" t="s">
        <v>308</v>
      </c>
      <c r="D287" s="5">
        <v>1668.3</v>
      </c>
      <c r="E287" s="5">
        <v>2.0</v>
      </c>
      <c r="F287" s="6">
        <v>3336.6</v>
      </c>
      <c r="G287" s="2" t="s">
        <v>925</v>
      </c>
      <c r="H287" s="2" t="s">
        <v>926</v>
      </c>
      <c r="I287" s="2" t="s">
        <v>927</v>
      </c>
    </row>
    <row r="288" ht="15.75" customHeight="1">
      <c r="A288" s="8">
        <v>45606.0</v>
      </c>
      <c r="B288" s="2" t="s">
        <v>9</v>
      </c>
      <c r="C288" s="2" t="s">
        <v>15</v>
      </c>
      <c r="D288" s="5">
        <v>1585.75</v>
      </c>
      <c r="E288" s="5">
        <v>5.0</v>
      </c>
      <c r="F288" s="6">
        <v>7928.75</v>
      </c>
      <c r="G288" s="2" t="s">
        <v>928</v>
      </c>
      <c r="H288" s="2" t="s">
        <v>929</v>
      </c>
      <c r="I288" s="2" t="s">
        <v>930</v>
      </c>
    </row>
    <row r="289" ht="15.75" customHeight="1">
      <c r="A289" s="1">
        <v>45606.0</v>
      </c>
      <c r="B289" s="2" t="s">
        <v>9</v>
      </c>
      <c r="C289" s="2" t="s">
        <v>396</v>
      </c>
      <c r="D289" s="5">
        <v>229.33</v>
      </c>
      <c r="E289" s="5">
        <v>4.0</v>
      </c>
      <c r="F289" s="6">
        <v>917.32</v>
      </c>
      <c r="G289" s="2" t="s">
        <v>931</v>
      </c>
      <c r="H289" s="2" t="s">
        <v>932</v>
      </c>
      <c r="I289" s="2" t="s">
        <v>933</v>
      </c>
    </row>
    <row r="290" ht="15.75" customHeight="1">
      <c r="A290" s="1">
        <v>45606.0</v>
      </c>
      <c r="B290" s="2" t="s">
        <v>14</v>
      </c>
      <c r="C290" s="2" t="s">
        <v>70</v>
      </c>
      <c r="D290" s="5">
        <v>596.93</v>
      </c>
      <c r="E290" s="5">
        <v>5.0</v>
      </c>
      <c r="F290" s="6">
        <v>2984.65</v>
      </c>
      <c r="G290" s="2" t="s">
        <v>934</v>
      </c>
      <c r="H290" s="2" t="s">
        <v>935</v>
      </c>
      <c r="I290" s="2" t="s">
        <v>936</v>
      </c>
    </row>
    <row r="291" ht="15.75" customHeight="1">
      <c r="A291" s="1">
        <v>45606.0</v>
      </c>
      <c r="B291" s="3" t="s">
        <v>29</v>
      </c>
      <c r="C291" s="2" t="s">
        <v>427</v>
      </c>
      <c r="D291" s="5">
        <v>1650.53</v>
      </c>
      <c r="E291" s="5">
        <v>1.0</v>
      </c>
      <c r="F291" s="6">
        <v>1650.53</v>
      </c>
      <c r="G291" s="2" t="s">
        <v>937</v>
      </c>
      <c r="H291" s="2" t="s">
        <v>938</v>
      </c>
      <c r="I291" s="2" t="s">
        <v>939</v>
      </c>
    </row>
    <row r="292" ht="15.75" customHeight="1">
      <c r="A292" s="1">
        <v>45606.0</v>
      </c>
      <c r="B292" s="2" t="s">
        <v>74</v>
      </c>
      <c r="C292" s="2" t="s">
        <v>115</v>
      </c>
      <c r="D292" s="5">
        <v>2114.99</v>
      </c>
      <c r="E292" s="5">
        <v>1.0</v>
      </c>
      <c r="F292" s="6">
        <v>2114.99</v>
      </c>
      <c r="G292" s="2" t="s">
        <v>940</v>
      </c>
      <c r="H292" s="2" t="s">
        <v>941</v>
      </c>
      <c r="I292" s="2" t="s">
        <v>942</v>
      </c>
    </row>
    <row r="293" ht="15.75" customHeight="1">
      <c r="A293" s="1">
        <v>45606.0</v>
      </c>
      <c r="B293" s="3" t="s">
        <v>29</v>
      </c>
      <c r="C293" s="2" t="s">
        <v>30</v>
      </c>
      <c r="D293" s="5">
        <v>169.2</v>
      </c>
      <c r="E293" s="5">
        <v>3.0</v>
      </c>
      <c r="F293" s="6">
        <v>507.6</v>
      </c>
      <c r="G293" s="2" t="s">
        <v>943</v>
      </c>
      <c r="H293" s="2" t="s">
        <v>944</v>
      </c>
      <c r="I293" s="2" t="s">
        <v>945</v>
      </c>
    </row>
    <row r="294" ht="15.75" customHeight="1">
      <c r="A294" s="1">
        <v>45606.0</v>
      </c>
      <c r="B294" s="2" t="s">
        <v>74</v>
      </c>
      <c r="C294" s="2" t="s">
        <v>386</v>
      </c>
      <c r="D294" s="5">
        <v>1614.84</v>
      </c>
      <c r="E294" s="5">
        <v>3.0</v>
      </c>
      <c r="F294" s="6">
        <v>4844.52</v>
      </c>
      <c r="G294" s="2" t="s">
        <v>946</v>
      </c>
      <c r="H294" s="2" t="s">
        <v>947</v>
      </c>
      <c r="I294" s="2" t="s">
        <v>948</v>
      </c>
    </row>
    <row r="295" ht="15.75" customHeight="1">
      <c r="A295" s="1">
        <v>45606.0</v>
      </c>
      <c r="B295" s="2" t="s">
        <v>74</v>
      </c>
      <c r="C295" s="2" t="s">
        <v>70</v>
      </c>
      <c r="D295" s="5">
        <v>360.98</v>
      </c>
      <c r="E295" s="5">
        <v>3.0</v>
      </c>
      <c r="F295" s="6">
        <v>1082.94</v>
      </c>
      <c r="G295" s="2" t="s">
        <v>949</v>
      </c>
      <c r="H295" s="2" t="s">
        <v>950</v>
      </c>
      <c r="I295" s="2" t="s">
        <v>951</v>
      </c>
    </row>
    <row r="296" ht="15.75" customHeight="1">
      <c r="A296" s="1">
        <v>45606.0</v>
      </c>
      <c r="B296" s="2" t="s">
        <v>9</v>
      </c>
      <c r="C296" s="2" t="s">
        <v>10</v>
      </c>
      <c r="D296" s="5">
        <v>1447.41</v>
      </c>
      <c r="E296" s="5">
        <v>4.0</v>
      </c>
      <c r="F296" s="6">
        <v>5789.64</v>
      </c>
      <c r="G296" s="2" t="s">
        <v>952</v>
      </c>
      <c r="H296" s="2" t="s">
        <v>953</v>
      </c>
      <c r="I296" s="2" t="s">
        <v>954</v>
      </c>
    </row>
    <row r="297" ht="15.75" customHeight="1">
      <c r="A297" s="1">
        <v>45606.0</v>
      </c>
      <c r="B297" s="2" t="s">
        <v>34</v>
      </c>
      <c r="C297" s="2" t="s">
        <v>15</v>
      </c>
      <c r="D297" s="5">
        <v>1746.28</v>
      </c>
      <c r="E297" s="5">
        <v>2.0</v>
      </c>
      <c r="F297" s="6">
        <v>3492.56</v>
      </c>
      <c r="G297" s="2" t="s">
        <v>955</v>
      </c>
      <c r="H297" s="2" t="s">
        <v>956</v>
      </c>
      <c r="I297" s="2" t="s">
        <v>957</v>
      </c>
    </row>
    <row r="298" ht="15.75" customHeight="1">
      <c r="A298" s="1">
        <v>45606.0</v>
      </c>
      <c r="B298" s="2" t="s">
        <v>87</v>
      </c>
      <c r="C298" s="2" t="s">
        <v>83</v>
      </c>
      <c r="D298" s="5">
        <v>2390.84</v>
      </c>
      <c r="E298" s="5">
        <v>5.0</v>
      </c>
      <c r="F298" s="6">
        <v>11954.2</v>
      </c>
      <c r="G298" s="2" t="s">
        <v>958</v>
      </c>
      <c r="H298" s="2" t="s">
        <v>959</v>
      </c>
      <c r="I298" s="2" t="s">
        <v>960</v>
      </c>
    </row>
    <row r="299" ht="15.75" customHeight="1">
      <c r="A299" s="1">
        <v>45606.0</v>
      </c>
      <c r="B299" s="2" t="s">
        <v>34</v>
      </c>
      <c r="C299" s="2" t="s">
        <v>215</v>
      </c>
      <c r="D299" s="5">
        <v>1415.48</v>
      </c>
      <c r="E299" s="5">
        <v>1.0</v>
      </c>
      <c r="F299" s="6">
        <v>1415.48</v>
      </c>
      <c r="G299" s="2" t="s">
        <v>961</v>
      </c>
      <c r="H299" s="2" t="s">
        <v>962</v>
      </c>
      <c r="I299" s="2" t="s">
        <v>963</v>
      </c>
    </row>
    <row r="300" ht="15.75" customHeight="1">
      <c r="A300" s="1">
        <v>45606.0</v>
      </c>
      <c r="B300" s="2" t="s">
        <v>9</v>
      </c>
      <c r="C300" s="2" t="s">
        <v>279</v>
      </c>
      <c r="D300" s="5">
        <v>1384.09</v>
      </c>
      <c r="E300" s="5">
        <v>2.0</v>
      </c>
      <c r="F300" s="6">
        <v>2768.18</v>
      </c>
      <c r="G300" s="2" t="s">
        <v>964</v>
      </c>
      <c r="H300" s="2" t="s">
        <v>965</v>
      </c>
      <c r="I300" s="2" t="s">
        <v>966</v>
      </c>
    </row>
    <row r="301" ht="15.75" customHeight="1">
      <c r="A301" s="1">
        <v>45607.0</v>
      </c>
      <c r="B301" s="2" t="s">
        <v>74</v>
      </c>
      <c r="C301" s="2" t="s">
        <v>187</v>
      </c>
      <c r="D301" s="5">
        <v>1933.07</v>
      </c>
      <c r="E301" s="5">
        <v>3.0</v>
      </c>
      <c r="F301" s="6">
        <v>5799.21</v>
      </c>
      <c r="G301" s="2" t="s">
        <v>967</v>
      </c>
      <c r="H301" s="2" t="s">
        <v>968</v>
      </c>
      <c r="I301" s="2" t="s">
        <v>969</v>
      </c>
    </row>
    <row r="302" ht="15.75" customHeight="1">
      <c r="A302" s="1">
        <v>45607.0</v>
      </c>
      <c r="B302" s="2" t="s">
        <v>14</v>
      </c>
      <c r="C302" s="2" t="s">
        <v>161</v>
      </c>
      <c r="D302" s="5">
        <v>1492.73</v>
      </c>
      <c r="E302" s="5">
        <v>5.0</v>
      </c>
      <c r="F302" s="6">
        <v>7463.65</v>
      </c>
      <c r="G302" s="2" t="s">
        <v>970</v>
      </c>
      <c r="H302" s="2" t="s">
        <v>971</v>
      </c>
      <c r="I302" s="2" t="s">
        <v>972</v>
      </c>
    </row>
    <row r="303" ht="15.75" customHeight="1">
      <c r="A303" s="1">
        <v>45607.0</v>
      </c>
      <c r="B303" s="2" t="s">
        <v>114</v>
      </c>
      <c r="C303" s="2" t="s">
        <v>22</v>
      </c>
      <c r="D303" s="5">
        <v>1170.2</v>
      </c>
      <c r="E303" s="5">
        <v>1.0</v>
      </c>
      <c r="F303" s="6">
        <v>1170.2</v>
      </c>
      <c r="G303" s="2" t="s">
        <v>973</v>
      </c>
      <c r="H303" s="2" t="s">
        <v>974</v>
      </c>
      <c r="I303" s="2" t="s">
        <v>975</v>
      </c>
    </row>
    <row r="304" ht="15.75" customHeight="1">
      <c r="A304" s="1">
        <v>45607.0</v>
      </c>
      <c r="B304" s="3" t="s">
        <v>29</v>
      </c>
      <c r="C304" s="2" t="s">
        <v>187</v>
      </c>
      <c r="D304" s="5">
        <v>569.35</v>
      </c>
      <c r="E304" s="5">
        <v>4.0</v>
      </c>
      <c r="F304" s="6">
        <v>2277.4</v>
      </c>
      <c r="G304" s="2" t="s">
        <v>976</v>
      </c>
      <c r="H304" s="2" t="s">
        <v>977</v>
      </c>
      <c r="I304" s="2" t="s">
        <v>978</v>
      </c>
    </row>
    <row r="305" ht="15.75" customHeight="1">
      <c r="A305" s="1">
        <v>45607.0</v>
      </c>
      <c r="B305" s="2" t="s">
        <v>9</v>
      </c>
      <c r="C305" s="2" t="s">
        <v>66</v>
      </c>
      <c r="D305" s="5">
        <v>664.19</v>
      </c>
      <c r="E305" s="5">
        <v>4.0</v>
      </c>
      <c r="F305" s="6">
        <v>2656.76</v>
      </c>
      <c r="G305" s="2" t="s">
        <v>979</v>
      </c>
      <c r="H305" s="2" t="s">
        <v>980</v>
      </c>
      <c r="I305" s="2" t="s">
        <v>981</v>
      </c>
    </row>
    <row r="306" ht="15.75" customHeight="1">
      <c r="A306" s="1">
        <v>45607.0</v>
      </c>
      <c r="B306" s="2" t="s">
        <v>14</v>
      </c>
      <c r="C306" s="2" t="s">
        <v>53</v>
      </c>
      <c r="D306" s="5">
        <v>214.86</v>
      </c>
      <c r="E306" s="5">
        <v>5.0</v>
      </c>
      <c r="F306" s="6">
        <v>1074.3</v>
      </c>
      <c r="G306" s="2" t="s">
        <v>982</v>
      </c>
      <c r="H306" s="2" t="s">
        <v>983</v>
      </c>
      <c r="I306" s="2" t="s">
        <v>984</v>
      </c>
    </row>
    <row r="307" ht="15.75" customHeight="1">
      <c r="A307" s="1">
        <v>45607.0</v>
      </c>
      <c r="B307" s="2" t="s">
        <v>34</v>
      </c>
      <c r="C307" s="2" t="s">
        <v>230</v>
      </c>
      <c r="D307" s="5">
        <v>499.69</v>
      </c>
      <c r="E307" s="5">
        <v>1.0</v>
      </c>
      <c r="F307" s="6">
        <v>499.69</v>
      </c>
      <c r="G307" s="2" t="s">
        <v>985</v>
      </c>
      <c r="H307" s="2" t="s">
        <v>986</v>
      </c>
      <c r="I307" s="2" t="s">
        <v>987</v>
      </c>
    </row>
    <row r="308" ht="15.75" customHeight="1">
      <c r="A308" s="1">
        <v>45607.0</v>
      </c>
      <c r="B308" s="2" t="s">
        <v>9</v>
      </c>
      <c r="C308" s="2" t="s">
        <v>179</v>
      </c>
      <c r="D308" s="5">
        <v>2442.23</v>
      </c>
      <c r="E308" s="5">
        <v>4.0</v>
      </c>
      <c r="F308" s="6">
        <v>9768.92</v>
      </c>
      <c r="G308" s="2" t="s">
        <v>988</v>
      </c>
      <c r="H308" s="2" t="s">
        <v>989</v>
      </c>
      <c r="I308" s="2" t="s">
        <v>990</v>
      </c>
    </row>
    <row r="309" ht="15.75" customHeight="1">
      <c r="A309" s="1">
        <v>45607.0</v>
      </c>
      <c r="B309" s="2" t="s">
        <v>14</v>
      </c>
      <c r="C309" s="2" t="s">
        <v>137</v>
      </c>
      <c r="D309" s="5">
        <v>2498.64</v>
      </c>
      <c r="E309" s="5">
        <v>2.0</v>
      </c>
      <c r="F309" s="6">
        <v>4997.28</v>
      </c>
      <c r="G309" s="2" t="s">
        <v>991</v>
      </c>
      <c r="H309" s="2" t="s">
        <v>992</v>
      </c>
      <c r="I309" s="2" t="s">
        <v>993</v>
      </c>
    </row>
    <row r="310" ht="15.75" customHeight="1">
      <c r="A310" s="1">
        <v>45608.0</v>
      </c>
      <c r="B310" s="2" t="s">
        <v>14</v>
      </c>
      <c r="C310" s="2" t="s">
        <v>161</v>
      </c>
      <c r="D310" s="5">
        <v>2333.72</v>
      </c>
      <c r="E310" s="5">
        <v>2.0</v>
      </c>
      <c r="F310" s="6">
        <v>4667.44</v>
      </c>
      <c r="G310" s="2" t="s">
        <v>994</v>
      </c>
      <c r="H310" s="2" t="s">
        <v>995</v>
      </c>
      <c r="I310" s="2" t="s">
        <v>996</v>
      </c>
    </row>
    <row r="311" ht="15.75" customHeight="1">
      <c r="A311" s="1">
        <v>45608.0</v>
      </c>
      <c r="B311" s="2" t="s">
        <v>34</v>
      </c>
      <c r="C311" s="2" t="s">
        <v>15</v>
      </c>
      <c r="D311" s="5">
        <v>100.98</v>
      </c>
      <c r="E311" s="5">
        <v>3.0</v>
      </c>
      <c r="F311" s="6">
        <v>302.94</v>
      </c>
      <c r="G311" s="2" t="s">
        <v>997</v>
      </c>
      <c r="H311" s="2" t="s">
        <v>998</v>
      </c>
      <c r="I311" s="2" t="s">
        <v>999</v>
      </c>
    </row>
    <row r="312" ht="15.75" customHeight="1">
      <c r="A312" s="1">
        <v>45608.0</v>
      </c>
      <c r="B312" s="2" t="s">
        <v>57</v>
      </c>
      <c r="C312" s="2" t="s">
        <v>66</v>
      </c>
      <c r="D312" s="5">
        <v>2437.77</v>
      </c>
      <c r="E312" s="5">
        <v>2.0</v>
      </c>
      <c r="F312" s="6">
        <v>4875.54</v>
      </c>
      <c r="G312" s="2" t="s">
        <v>1000</v>
      </c>
      <c r="H312" s="2" t="s">
        <v>1001</v>
      </c>
      <c r="I312" s="2" t="s">
        <v>1002</v>
      </c>
    </row>
    <row r="313" ht="15.75" customHeight="1">
      <c r="A313" s="1">
        <v>45608.0</v>
      </c>
      <c r="B313" s="2" t="s">
        <v>74</v>
      </c>
      <c r="C313" s="2" t="s">
        <v>83</v>
      </c>
      <c r="D313" s="5">
        <v>1281.78</v>
      </c>
      <c r="E313" s="5">
        <v>3.0</v>
      </c>
      <c r="F313" s="6">
        <v>3845.34</v>
      </c>
      <c r="G313" s="2" t="s">
        <v>1003</v>
      </c>
      <c r="H313" s="2" t="s">
        <v>1004</v>
      </c>
      <c r="I313" s="2" t="s">
        <v>1005</v>
      </c>
    </row>
    <row r="314" ht="15.75" customHeight="1">
      <c r="A314" s="1">
        <v>45608.0</v>
      </c>
      <c r="B314" s="2" t="s">
        <v>14</v>
      </c>
      <c r="C314" s="2" t="s">
        <v>279</v>
      </c>
      <c r="D314" s="5">
        <v>2012.81</v>
      </c>
      <c r="E314" s="5">
        <v>4.0</v>
      </c>
      <c r="F314" s="6">
        <v>8051.24</v>
      </c>
      <c r="G314" s="2" t="s">
        <v>1006</v>
      </c>
      <c r="H314" s="2" t="s">
        <v>1007</v>
      </c>
      <c r="I314" s="2" t="s">
        <v>1008</v>
      </c>
    </row>
    <row r="315" ht="15.75" customHeight="1">
      <c r="A315" s="1">
        <v>45608.0</v>
      </c>
      <c r="B315" s="2" t="s">
        <v>57</v>
      </c>
      <c r="C315" s="2" t="s">
        <v>62</v>
      </c>
      <c r="D315" s="5">
        <v>1673.73</v>
      </c>
      <c r="E315" s="5">
        <v>1.0</v>
      </c>
      <c r="F315" s="6">
        <v>1673.73</v>
      </c>
      <c r="G315" s="2" t="s">
        <v>1009</v>
      </c>
      <c r="H315" s="2" t="s">
        <v>1010</v>
      </c>
      <c r="I315" s="2" t="s">
        <v>1011</v>
      </c>
    </row>
    <row r="316" ht="15.75" customHeight="1">
      <c r="A316" s="1">
        <v>45608.0</v>
      </c>
      <c r="B316" s="2" t="s">
        <v>34</v>
      </c>
      <c r="C316" s="2" t="s">
        <v>35</v>
      </c>
      <c r="D316" s="5">
        <v>1151.85</v>
      </c>
      <c r="E316" s="5">
        <v>5.0</v>
      </c>
      <c r="F316" s="6">
        <v>5759.25</v>
      </c>
      <c r="G316" s="2" t="s">
        <v>1012</v>
      </c>
      <c r="H316" s="2" t="s">
        <v>1013</v>
      </c>
      <c r="I316" s="2" t="s">
        <v>1014</v>
      </c>
    </row>
    <row r="317" ht="15.75" customHeight="1">
      <c r="A317" s="1">
        <v>45608.0</v>
      </c>
      <c r="B317" s="2" t="s">
        <v>57</v>
      </c>
      <c r="C317" s="2" t="s">
        <v>88</v>
      </c>
      <c r="D317" s="5">
        <v>1032.0</v>
      </c>
      <c r="E317" s="5">
        <v>4.0</v>
      </c>
      <c r="F317" s="6">
        <v>4128.0</v>
      </c>
      <c r="G317" s="2" t="s">
        <v>1015</v>
      </c>
      <c r="H317" s="2" t="s">
        <v>1016</v>
      </c>
      <c r="I317" s="2" t="s">
        <v>1017</v>
      </c>
    </row>
    <row r="318" ht="15.75" customHeight="1">
      <c r="A318" s="1">
        <v>45608.0</v>
      </c>
      <c r="B318" s="2" t="s">
        <v>74</v>
      </c>
      <c r="C318" s="2" t="s">
        <v>35</v>
      </c>
      <c r="D318" s="2"/>
      <c r="E318" s="5">
        <v>2.0</v>
      </c>
      <c r="F318" s="6">
        <v>3713.2</v>
      </c>
      <c r="G318" s="2" t="s">
        <v>1018</v>
      </c>
      <c r="H318" s="2" t="s">
        <v>1019</v>
      </c>
      <c r="I318" s="2" t="s">
        <v>1020</v>
      </c>
    </row>
    <row r="319" ht="15.75" customHeight="1">
      <c r="A319" s="1">
        <v>45608.0</v>
      </c>
      <c r="B319" s="2" t="s">
        <v>9</v>
      </c>
      <c r="C319" s="2" t="s">
        <v>70</v>
      </c>
      <c r="D319" s="5">
        <v>1383.94</v>
      </c>
      <c r="E319" s="5">
        <v>3.0</v>
      </c>
      <c r="F319" s="6">
        <v>4151.82</v>
      </c>
      <c r="G319" s="2" t="s">
        <v>1021</v>
      </c>
      <c r="H319" s="2" t="s">
        <v>1022</v>
      </c>
      <c r="I319" s="2" t="s">
        <v>1023</v>
      </c>
    </row>
    <row r="320" ht="15.75" customHeight="1">
      <c r="A320" s="1">
        <v>45608.0</v>
      </c>
      <c r="B320" s="2" t="s">
        <v>57</v>
      </c>
      <c r="C320" s="2" t="s">
        <v>230</v>
      </c>
      <c r="D320" s="5">
        <v>812.41</v>
      </c>
      <c r="E320" s="5">
        <v>5.0</v>
      </c>
      <c r="F320" s="6">
        <v>4062.05</v>
      </c>
      <c r="G320" s="2" t="s">
        <v>1024</v>
      </c>
      <c r="H320" s="2" t="s">
        <v>1025</v>
      </c>
      <c r="I320" s="2" t="s">
        <v>1026</v>
      </c>
    </row>
    <row r="321" ht="15.75" customHeight="1">
      <c r="A321" s="1">
        <v>45608.0</v>
      </c>
      <c r="B321" s="2" t="s">
        <v>57</v>
      </c>
      <c r="C321" s="2" t="s">
        <v>22</v>
      </c>
      <c r="D321" s="5">
        <v>424.12</v>
      </c>
      <c r="E321" s="5">
        <v>2.0</v>
      </c>
      <c r="F321" s="6">
        <v>848.24</v>
      </c>
      <c r="G321" s="2" t="s">
        <v>1027</v>
      </c>
      <c r="H321" s="2" t="s">
        <v>1028</v>
      </c>
      <c r="I321" s="2" t="s">
        <v>1029</v>
      </c>
    </row>
    <row r="322" ht="15.75" customHeight="1">
      <c r="A322" s="1">
        <v>45609.0</v>
      </c>
      <c r="B322" s="2" t="s">
        <v>14</v>
      </c>
      <c r="C322" s="2" t="s">
        <v>58</v>
      </c>
      <c r="D322" s="2"/>
      <c r="E322" s="5">
        <v>1.0</v>
      </c>
      <c r="F322" s="6">
        <v>1787.41</v>
      </c>
      <c r="G322" s="2" t="s">
        <v>1030</v>
      </c>
      <c r="H322" s="2" t="s">
        <v>1031</v>
      </c>
      <c r="I322" s="2" t="s">
        <v>1032</v>
      </c>
    </row>
    <row r="323" ht="15.75" customHeight="1">
      <c r="A323" s="1">
        <v>45609.0</v>
      </c>
      <c r="B323" s="2" t="s">
        <v>9</v>
      </c>
      <c r="C323" s="2" t="s">
        <v>92</v>
      </c>
      <c r="D323" s="5">
        <v>625.41</v>
      </c>
      <c r="E323" s="5">
        <v>2.0</v>
      </c>
      <c r="F323" s="6">
        <v>1250.82</v>
      </c>
      <c r="G323" s="2" t="s">
        <v>1033</v>
      </c>
      <c r="H323" s="2" t="s">
        <v>1034</v>
      </c>
      <c r="I323" s="2" t="s">
        <v>1035</v>
      </c>
    </row>
    <row r="324" ht="15.75" customHeight="1">
      <c r="A324" s="1">
        <v>45609.0</v>
      </c>
      <c r="B324" s="3" t="s">
        <v>29</v>
      </c>
      <c r="C324" s="2" t="s">
        <v>316</v>
      </c>
      <c r="D324" s="5">
        <v>2393.92</v>
      </c>
      <c r="E324" s="5">
        <v>3.0</v>
      </c>
      <c r="F324" s="6">
        <v>7181.76</v>
      </c>
      <c r="G324" s="2" t="s">
        <v>1036</v>
      </c>
      <c r="H324" s="2" t="s">
        <v>1037</v>
      </c>
      <c r="I324" s="2" t="s">
        <v>1038</v>
      </c>
    </row>
    <row r="325" ht="15.75" customHeight="1">
      <c r="A325" s="1">
        <v>45609.0</v>
      </c>
      <c r="B325" s="2" t="s">
        <v>9</v>
      </c>
      <c r="C325" s="2" t="s">
        <v>15</v>
      </c>
      <c r="D325" s="5">
        <v>724.54</v>
      </c>
      <c r="E325" s="5">
        <v>5.0</v>
      </c>
      <c r="F325" s="6">
        <v>3622.7</v>
      </c>
      <c r="G325" s="2" t="s">
        <v>1039</v>
      </c>
      <c r="H325" s="2" t="s">
        <v>1040</v>
      </c>
      <c r="I325" s="2" t="s">
        <v>1041</v>
      </c>
    </row>
    <row r="326" ht="15.75" customHeight="1">
      <c r="A326" s="1">
        <v>45609.0</v>
      </c>
      <c r="B326" s="3" t="s">
        <v>29</v>
      </c>
      <c r="C326" s="2" t="s">
        <v>256</v>
      </c>
      <c r="D326" s="5">
        <v>1665.73</v>
      </c>
      <c r="E326" s="5">
        <v>2.0</v>
      </c>
      <c r="F326" s="6">
        <v>3331.46</v>
      </c>
      <c r="G326" s="2" t="s">
        <v>1042</v>
      </c>
      <c r="H326" s="2" t="s">
        <v>1043</v>
      </c>
      <c r="I326" s="2" t="s">
        <v>1044</v>
      </c>
    </row>
    <row r="327" ht="15.75" customHeight="1">
      <c r="A327" s="1">
        <v>45609.0</v>
      </c>
      <c r="B327" s="2" t="s">
        <v>14</v>
      </c>
      <c r="C327" s="2" t="s">
        <v>179</v>
      </c>
      <c r="D327" s="5">
        <v>1373.32</v>
      </c>
      <c r="E327" s="5">
        <v>1.0</v>
      </c>
      <c r="F327" s="6">
        <v>1373.32</v>
      </c>
      <c r="G327" s="2" t="s">
        <v>1045</v>
      </c>
      <c r="H327" s="2" t="s">
        <v>1046</v>
      </c>
      <c r="I327" s="2" t="s">
        <v>1047</v>
      </c>
    </row>
    <row r="328" ht="15.75" customHeight="1">
      <c r="A328" s="1">
        <v>45609.0</v>
      </c>
      <c r="B328" s="2" t="s">
        <v>57</v>
      </c>
      <c r="C328" s="2" t="s">
        <v>183</v>
      </c>
      <c r="D328" s="5">
        <v>1899.66</v>
      </c>
      <c r="E328" s="5">
        <v>2.0</v>
      </c>
      <c r="F328" s="6">
        <v>3799.32</v>
      </c>
      <c r="G328" s="2" t="s">
        <v>1048</v>
      </c>
      <c r="H328" s="2" t="s">
        <v>1049</v>
      </c>
      <c r="I328" s="7" t="s">
        <v>1050</v>
      </c>
    </row>
    <row r="329" ht="15.75" customHeight="1">
      <c r="A329" s="1">
        <v>45609.0</v>
      </c>
      <c r="B329" s="2" t="s">
        <v>74</v>
      </c>
      <c r="C329" s="2" t="s">
        <v>130</v>
      </c>
      <c r="D329" s="5">
        <v>1873.69</v>
      </c>
      <c r="E329" s="5">
        <v>2.0</v>
      </c>
      <c r="F329" s="6">
        <v>3747.38</v>
      </c>
      <c r="G329" s="2" t="s">
        <v>1051</v>
      </c>
      <c r="H329" s="2" t="s">
        <v>1052</v>
      </c>
      <c r="I329" s="2" t="s">
        <v>1053</v>
      </c>
    </row>
    <row r="330" ht="15.75" customHeight="1">
      <c r="A330" s="1">
        <v>45609.0</v>
      </c>
      <c r="B330" s="2" t="s">
        <v>57</v>
      </c>
      <c r="C330" s="2" t="s">
        <v>49</v>
      </c>
      <c r="D330" s="5">
        <v>181.51</v>
      </c>
      <c r="E330" s="5">
        <v>5.0</v>
      </c>
      <c r="F330" s="6">
        <v>907.55</v>
      </c>
      <c r="G330" s="2" t="s">
        <v>1054</v>
      </c>
      <c r="H330" s="2" t="s">
        <v>1055</v>
      </c>
      <c r="I330" s="2" t="s">
        <v>1056</v>
      </c>
    </row>
    <row r="331" ht="15.75" customHeight="1">
      <c r="A331" s="1">
        <v>45609.0</v>
      </c>
      <c r="B331" s="2" t="s">
        <v>14</v>
      </c>
      <c r="C331" s="2" t="s">
        <v>165</v>
      </c>
      <c r="D331" s="5">
        <v>1029.22</v>
      </c>
      <c r="E331" s="5">
        <v>5.0</v>
      </c>
      <c r="F331" s="6">
        <v>5146.1</v>
      </c>
      <c r="G331" s="2" t="s">
        <v>1057</v>
      </c>
      <c r="H331" s="2" t="s">
        <v>1058</v>
      </c>
      <c r="I331" s="2" t="s">
        <v>1059</v>
      </c>
    </row>
    <row r="332" ht="15.75" customHeight="1">
      <c r="A332" s="1">
        <v>45609.0</v>
      </c>
      <c r="B332" s="2" t="s">
        <v>34</v>
      </c>
      <c r="C332" s="2" t="s">
        <v>427</v>
      </c>
      <c r="D332" s="5">
        <v>1177.91</v>
      </c>
      <c r="E332" s="5">
        <v>2.0</v>
      </c>
      <c r="F332" s="6">
        <v>2355.82</v>
      </c>
      <c r="G332" s="2" t="s">
        <v>1060</v>
      </c>
      <c r="H332" s="2" t="s">
        <v>1061</v>
      </c>
      <c r="I332" s="2" t="s">
        <v>1062</v>
      </c>
    </row>
    <row r="333" ht="15.75" customHeight="1">
      <c r="A333" s="1">
        <v>45610.0</v>
      </c>
      <c r="B333" s="2" t="s">
        <v>74</v>
      </c>
      <c r="C333" s="2" t="s">
        <v>22</v>
      </c>
      <c r="D333" s="5">
        <v>1618.43</v>
      </c>
      <c r="E333" s="5">
        <v>3.0</v>
      </c>
      <c r="F333" s="6">
        <v>4855.29</v>
      </c>
      <c r="G333" s="2" t="s">
        <v>1063</v>
      </c>
      <c r="H333" s="2" t="s">
        <v>1064</v>
      </c>
      <c r="I333" s="2" t="s">
        <v>1065</v>
      </c>
    </row>
    <row r="334" ht="15.75" customHeight="1">
      <c r="A334" s="1">
        <v>45610.0</v>
      </c>
      <c r="B334" s="2" t="s">
        <v>57</v>
      </c>
      <c r="C334" s="2" t="s">
        <v>316</v>
      </c>
      <c r="D334" s="5">
        <v>2064.2</v>
      </c>
      <c r="E334" s="5">
        <v>1.0</v>
      </c>
      <c r="F334" s="6">
        <v>2064.2</v>
      </c>
      <c r="G334" s="2" t="s">
        <v>1066</v>
      </c>
      <c r="H334" s="2" t="s">
        <v>1067</v>
      </c>
      <c r="I334" s="2" t="s">
        <v>1068</v>
      </c>
    </row>
    <row r="335" ht="15.75" customHeight="1">
      <c r="A335" s="1">
        <v>45610.0</v>
      </c>
      <c r="B335" s="3" t="s">
        <v>29</v>
      </c>
      <c r="C335" s="2" t="s">
        <v>215</v>
      </c>
      <c r="D335" s="5">
        <v>1152.44</v>
      </c>
      <c r="E335" s="5">
        <v>5.0</v>
      </c>
      <c r="F335" s="6">
        <v>5762.2</v>
      </c>
      <c r="G335" s="2" t="s">
        <v>1069</v>
      </c>
      <c r="H335" s="2" t="s">
        <v>1070</v>
      </c>
      <c r="I335" s="2" t="s">
        <v>1071</v>
      </c>
    </row>
    <row r="336" ht="15.75" customHeight="1">
      <c r="A336" s="1">
        <v>45610.0</v>
      </c>
      <c r="B336" s="2" t="s">
        <v>57</v>
      </c>
      <c r="C336" s="2" t="s">
        <v>15</v>
      </c>
      <c r="D336" s="5">
        <v>1051.49</v>
      </c>
      <c r="E336" s="5">
        <v>3.0</v>
      </c>
      <c r="F336" s="6">
        <v>3154.47</v>
      </c>
      <c r="G336" s="2" t="s">
        <v>1072</v>
      </c>
      <c r="H336" s="2" t="s">
        <v>1073</v>
      </c>
      <c r="I336" s="2" t="s">
        <v>1074</v>
      </c>
    </row>
    <row r="337" ht="15.75" customHeight="1">
      <c r="A337" s="1">
        <v>45610.0</v>
      </c>
      <c r="B337" s="2" t="s">
        <v>57</v>
      </c>
      <c r="C337" s="2" t="s">
        <v>1075</v>
      </c>
      <c r="D337" s="5">
        <v>446.49</v>
      </c>
      <c r="E337" s="5">
        <v>3.0</v>
      </c>
      <c r="F337" s="6">
        <v>1339.47</v>
      </c>
      <c r="G337" s="2" t="s">
        <v>1076</v>
      </c>
      <c r="H337" s="2" t="s">
        <v>1077</v>
      </c>
      <c r="I337" s="2" t="s">
        <v>1078</v>
      </c>
    </row>
    <row r="338" ht="15.75" customHeight="1">
      <c r="A338" s="1">
        <v>45610.0</v>
      </c>
      <c r="B338" s="2" t="s">
        <v>34</v>
      </c>
      <c r="C338" s="2" t="s">
        <v>269</v>
      </c>
      <c r="D338" s="5">
        <v>879.78</v>
      </c>
      <c r="E338" s="5">
        <v>1.0</v>
      </c>
      <c r="F338" s="6">
        <v>879.78</v>
      </c>
      <c r="G338" s="2" t="s">
        <v>1079</v>
      </c>
      <c r="H338" s="2" t="s">
        <v>1080</v>
      </c>
      <c r="I338" s="2" t="s">
        <v>1081</v>
      </c>
    </row>
    <row r="339" ht="15.75" customHeight="1">
      <c r="A339" s="1">
        <v>45610.0</v>
      </c>
      <c r="B339" s="2" t="s">
        <v>34</v>
      </c>
      <c r="C339" s="2" t="s">
        <v>10</v>
      </c>
      <c r="D339" s="5">
        <v>1001.15</v>
      </c>
      <c r="E339" s="5">
        <v>4.0</v>
      </c>
      <c r="F339" s="6">
        <v>4004.6</v>
      </c>
      <c r="G339" s="2" t="s">
        <v>1082</v>
      </c>
      <c r="H339" s="2" t="s">
        <v>1083</v>
      </c>
      <c r="I339" s="2" t="s">
        <v>1084</v>
      </c>
    </row>
    <row r="340" ht="15.75" customHeight="1">
      <c r="A340" s="1">
        <v>45610.0</v>
      </c>
      <c r="B340" s="2" t="s">
        <v>9</v>
      </c>
      <c r="C340" s="2" t="s">
        <v>35</v>
      </c>
      <c r="D340" s="5">
        <v>2224.61</v>
      </c>
      <c r="E340" s="5">
        <v>4.0</v>
      </c>
      <c r="F340" s="6">
        <v>8898.44</v>
      </c>
      <c r="G340" s="2" t="s">
        <v>1085</v>
      </c>
      <c r="H340" s="2" t="s">
        <v>1086</v>
      </c>
      <c r="I340" s="2" t="s">
        <v>1087</v>
      </c>
    </row>
    <row r="341" ht="15.75" customHeight="1">
      <c r="A341" s="1">
        <v>45610.0</v>
      </c>
      <c r="B341" s="2" t="s">
        <v>14</v>
      </c>
      <c r="C341" s="2" t="s">
        <v>130</v>
      </c>
      <c r="D341" s="5">
        <v>563.11</v>
      </c>
      <c r="E341" s="5">
        <v>1.0</v>
      </c>
      <c r="F341" s="6">
        <v>563.11</v>
      </c>
      <c r="G341" s="2" t="s">
        <v>1088</v>
      </c>
      <c r="H341" s="2" t="s">
        <v>1089</v>
      </c>
      <c r="I341" s="2" t="s">
        <v>1090</v>
      </c>
    </row>
    <row r="342" ht="15.75" customHeight="1">
      <c r="A342" s="1">
        <v>45610.0</v>
      </c>
      <c r="B342" s="2" t="s">
        <v>34</v>
      </c>
      <c r="C342" s="2" t="s">
        <v>341</v>
      </c>
      <c r="D342" s="5">
        <v>1165.81</v>
      </c>
      <c r="E342" s="5">
        <v>1.0</v>
      </c>
      <c r="F342" s="6">
        <v>1165.81</v>
      </c>
      <c r="G342" s="2" t="s">
        <v>1091</v>
      </c>
      <c r="H342" s="2" t="s">
        <v>1092</v>
      </c>
      <c r="I342" s="2" t="s">
        <v>1093</v>
      </c>
    </row>
    <row r="343" ht="15.75" customHeight="1">
      <c r="A343" s="1">
        <v>45610.0</v>
      </c>
      <c r="B343" s="2" t="s">
        <v>14</v>
      </c>
      <c r="C343" s="2" t="s">
        <v>123</v>
      </c>
      <c r="D343" s="5">
        <v>718.69</v>
      </c>
      <c r="E343" s="5">
        <v>4.0</v>
      </c>
      <c r="F343" s="6">
        <v>2874.76</v>
      </c>
      <c r="G343" s="2" t="s">
        <v>1094</v>
      </c>
      <c r="H343" s="2" t="s">
        <v>1095</v>
      </c>
      <c r="I343" s="2" t="s">
        <v>1096</v>
      </c>
    </row>
    <row r="344" ht="15.75" customHeight="1">
      <c r="A344" s="1">
        <v>45610.0</v>
      </c>
      <c r="B344" s="2" t="s">
        <v>9</v>
      </c>
      <c r="C344" s="2" t="s">
        <v>1097</v>
      </c>
      <c r="D344" s="5">
        <v>2474.36</v>
      </c>
      <c r="E344" s="5">
        <v>2.0</v>
      </c>
      <c r="F344" s="6">
        <v>4948.72</v>
      </c>
      <c r="G344" s="2" t="s">
        <v>1098</v>
      </c>
      <c r="H344" s="2" t="s">
        <v>1099</v>
      </c>
      <c r="I344" s="2" t="s">
        <v>1100</v>
      </c>
    </row>
    <row r="345" ht="15.75" customHeight="1">
      <c r="A345" s="1">
        <v>45610.0</v>
      </c>
      <c r="B345" s="2" t="s">
        <v>74</v>
      </c>
      <c r="C345" s="2" t="s">
        <v>179</v>
      </c>
      <c r="D345" s="5">
        <v>1876.88</v>
      </c>
      <c r="E345" s="5">
        <v>4.0</v>
      </c>
      <c r="F345" s="6">
        <v>7507.52</v>
      </c>
      <c r="G345" s="2" t="s">
        <v>1101</v>
      </c>
      <c r="H345" s="2" t="s">
        <v>1102</v>
      </c>
      <c r="I345" s="2" t="s">
        <v>1103</v>
      </c>
    </row>
    <row r="346" ht="15.75" customHeight="1">
      <c r="A346" s="1">
        <v>45611.0</v>
      </c>
      <c r="B346" s="2" t="s">
        <v>34</v>
      </c>
      <c r="C346" s="2" t="s">
        <v>130</v>
      </c>
      <c r="D346" s="5">
        <v>450.01</v>
      </c>
      <c r="E346" s="5">
        <v>4.0</v>
      </c>
      <c r="F346" s="6">
        <v>1800.04</v>
      </c>
      <c r="G346" s="2" t="s">
        <v>1104</v>
      </c>
      <c r="H346" s="2" t="s">
        <v>1105</v>
      </c>
      <c r="I346" s="2" t="s">
        <v>1106</v>
      </c>
    </row>
    <row r="347" ht="15.75" customHeight="1">
      <c r="A347" s="1">
        <v>45611.0</v>
      </c>
      <c r="B347" s="3" t="s">
        <v>29</v>
      </c>
      <c r="C347" s="2" t="s">
        <v>66</v>
      </c>
      <c r="D347" s="5">
        <v>1808.18</v>
      </c>
      <c r="E347" s="5">
        <v>5.0</v>
      </c>
      <c r="F347" s="6">
        <v>9040.9</v>
      </c>
      <c r="G347" s="2" t="s">
        <v>1107</v>
      </c>
      <c r="H347" s="2" t="s">
        <v>1108</v>
      </c>
      <c r="I347" s="2" t="s">
        <v>1109</v>
      </c>
    </row>
    <row r="348" ht="15.75" customHeight="1">
      <c r="A348" s="1">
        <v>45611.0</v>
      </c>
      <c r="B348" s="2" t="s">
        <v>74</v>
      </c>
      <c r="C348" s="2" t="s">
        <v>179</v>
      </c>
      <c r="D348" s="5">
        <v>914.84</v>
      </c>
      <c r="E348" s="5">
        <v>4.0</v>
      </c>
      <c r="F348" s="6">
        <v>3659.36</v>
      </c>
      <c r="G348" s="2" t="s">
        <v>1110</v>
      </c>
      <c r="H348" s="2" t="s">
        <v>1111</v>
      </c>
      <c r="I348" s="7" t="s">
        <v>1112</v>
      </c>
    </row>
    <row r="349" ht="15.75" customHeight="1">
      <c r="A349" s="1">
        <v>45611.0</v>
      </c>
      <c r="B349" s="2" t="s">
        <v>57</v>
      </c>
      <c r="C349" s="2" t="s">
        <v>75</v>
      </c>
      <c r="D349" s="5">
        <v>210.37</v>
      </c>
      <c r="E349" s="5">
        <v>1.0</v>
      </c>
      <c r="F349" s="6">
        <v>210.37</v>
      </c>
      <c r="G349" s="2" t="s">
        <v>1113</v>
      </c>
      <c r="H349" s="2" t="s">
        <v>1114</v>
      </c>
      <c r="I349" s="2" t="s">
        <v>1115</v>
      </c>
    </row>
    <row r="350" ht="15.75" customHeight="1">
      <c r="A350" s="1">
        <v>45611.0</v>
      </c>
      <c r="B350" s="2" t="s">
        <v>34</v>
      </c>
      <c r="C350" s="2" t="s">
        <v>62</v>
      </c>
      <c r="D350" s="5">
        <v>1767.16</v>
      </c>
      <c r="E350" s="5">
        <v>1.0</v>
      </c>
      <c r="F350" s="6">
        <v>1767.16</v>
      </c>
      <c r="G350" s="2" t="s">
        <v>1116</v>
      </c>
      <c r="H350" s="2" t="s">
        <v>1117</v>
      </c>
      <c r="I350" s="2" t="s">
        <v>1118</v>
      </c>
    </row>
    <row r="351" ht="15.75" customHeight="1">
      <c r="A351" s="1">
        <v>45611.0</v>
      </c>
      <c r="B351" s="2" t="s">
        <v>57</v>
      </c>
      <c r="C351" s="2" t="s">
        <v>427</v>
      </c>
      <c r="D351" s="5">
        <v>1832.97</v>
      </c>
      <c r="E351" s="5">
        <v>2.0</v>
      </c>
      <c r="F351" s="6">
        <v>3665.94</v>
      </c>
      <c r="G351" s="2" t="s">
        <v>1119</v>
      </c>
      <c r="H351" s="2" t="s">
        <v>1120</v>
      </c>
      <c r="I351" s="2" t="s">
        <v>1121</v>
      </c>
    </row>
    <row r="352" ht="15.75" customHeight="1">
      <c r="A352" s="1">
        <v>45611.0</v>
      </c>
      <c r="B352" s="2" t="s">
        <v>57</v>
      </c>
      <c r="C352" s="2" t="s">
        <v>66</v>
      </c>
      <c r="D352" s="5">
        <v>1159.32</v>
      </c>
      <c r="E352" s="5">
        <v>5.0</v>
      </c>
      <c r="F352" s="6">
        <v>5796.6</v>
      </c>
      <c r="G352" s="2" t="s">
        <v>1122</v>
      </c>
      <c r="H352" s="2" t="s">
        <v>1123</v>
      </c>
      <c r="I352" s="2" t="s">
        <v>1124</v>
      </c>
    </row>
    <row r="353" ht="15.75" customHeight="1">
      <c r="A353" s="1">
        <v>45611.0</v>
      </c>
      <c r="B353" s="2" t="s">
        <v>14</v>
      </c>
      <c r="C353" s="2" t="s">
        <v>123</v>
      </c>
      <c r="D353" s="5">
        <v>120.49</v>
      </c>
      <c r="E353" s="5">
        <v>3.0</v>
      </c>
      <c r="F353" s="6">
        <v>361.47</v>
      </c>
      <c r="G353" s="2" t="s">
        <v>1125</v>
      </c>
      <c r="H353" s="2" t="s">
        <v>1126</v>
      </c>
      <c r="I353" s="2" t="s">
        <v>1127</v>
      </c>
    </row>
    <row r="354" ht="15.75" customHeight="1">
      <c r="A354" s="1">
        <v>45611.0</v>
      </c>
      <c r="B354" s="2" t="s">
        <v>74</v>
      </c>
      <c r="C354" s="2" t="s">
        <v>370</v>
      </c>
      <c r="D354" s="5">
        <v>84.76</v>
      </c>
      <c r="E354" s="5">
        <v>4.0</v>
      </c>
      <c r="F354" s="6">
        <v>339.04</v>
      </c>
      <c r="G354" s="2" t="s">
        <v>1128</v>
      </c>
      <c r="H354" s="2" t="s">
        <v>1129</v>
      </c>
      <c r="I354" s="2" t="s">
        <v>1130</v>
      </c>
    </row>
    <row r="355" ht="15.75" customHeight="1">
      <c r="A355" s="1">
        <v>45611.0</v>
      </c>
      <c r="B355" s="2" t="s">
        <v>14</v>
      </c>
      <c r="C355" s="2" t="s">
        <v>161</v>
      </c>
      <c r="D355" s="5">
        <v>969.37</v>
      </c>
      <c r="E355" s="5">
        <v>3.0</v>
      </c>
      <c r="F355" s="6">
        <v>2908.11</v>
      </c>
      <c r="G355" s="2" t="s">
        <v>1131</v>
      </c>
      <c r="H355" s="2" t="s">
        <v>1132</v>
      </c>
      <c r="I355" s="2" t="s">
        <v>1133</v>
      </c>
    </row>
    <row r="356" ht="15.75" customHeight="1">
      <c r="A356" s="1">
        <v>45611.0</v>
      </c>
      <c r="B356" s="2" t="s">
        <v>57</v>
      </c>
      <c r="C356" s="2" t="s">
        <v>130</v>
      </c>
      <c r="D356" s="5">
        <v>1318.47</v>
      </c>
      <c r="E356" s="5">
        <v>1.0</v>
      </c>
      <c r="F356" s="6">
        <v>1318.47</v>
      </c>
      <c r="G356" s="3" t="s">
        <v>1134</v>
      </c>
      <c r="H356" s="2" t="s">
        <v>1135</v>
      </c>
      <c r="I356" s="2" t="s">
        <v>1136</v>
      </c>
    </row>
    <row r="357" ht="15.75" customHeight="1">
      <c r="A357" s="1">
        <v>45611.0</v>
      </c>
      <c r="B357" s="2" t="s">
        <v>57</v>
      </c>
      <c r="C357" s="2" t="s">
        <v>183</v>
      </c>
      <c r="D357" s="5">
        <v>1943.33</v>
      </c>
      <c r="E357" s="5">
        <v>1.0</v>
      </c>
      <c r="F357" s="6">
        <v>1943.33</v>
      </c>
      <c r="G357" s="2" t="s">
        <v>1137</v>
      </c>
      <c r="H357" s="2" t="s">
        <v>1138</v>
      </c>
      <c r="I357" s="2" t="s">
        <v>1139</v>
      </c>
    </row>
    <row r="358" ht="15.75" customHeight="1">
      <c r="A358" s="1">
        <v>45611.0</v>
      </c>
      <c r="B358" s="2" t="s">
        <v>34</v>
      </c>
      <c r="C358" s="2" t="s">
        <v>53</v>
      </c>
      <c r="D358" s="5">
        <v>2040.92</v>
      </c>
      <c r="E358" s="5">
        <v>1.0</v>
      </c>
      <c r="F358" s="6">
        <v>2040.92</v>
      </c>
      <c r="G358" s="2" t="s">
        <v>1140</v>
      </c>
      <c r="H358" s="2" t="s">
        <v>1141</v>
      </c>
      <c r="I358" s="2" t="s">
        <v>1142</v>
      </c>
    </row>
    <row r="359" ht="15.75" customHeight="1">
      <c r="A359" s="1">
        <v>45611.0</v>
      </c>
      <c r="B359" s="2" t="s">
        <v>57</v>
      </c>
      <c r="C359" s="2" t="s">
        <v>370</v>
      </c>
      <c r="D359" s="5">
        <v>1626.83</v>
      </c>
      <c r="E359" s="5">
        <v>1.0</v>
      </c>
      <c r="F359" s="6">
        <v>1626.83</v>
      </c>
      <c r="G359" s="2" t="s">
        <v>1143</v>
      </c>
      <c r="H359" s="2" t="s">
        <v>1144</v>
      </c>
      <c r="I359" s="7" t="s">
        <v>1145</v>
      </c>
    </row>
    <row r="360" ht="15.75" customHeight="1">
      <c r="A360" s="1">
        <v>45612.0</v>
      </c>
      <c r="B360" s="3" t="s">
        <v>29</v>
      </c>
      <c r="C360" s="2" t="s">
        <v>66</v>
      </c>
      <c r="D360" s="5">
        <v>1137.01</v>
      </c>
      <c r="E360" s="5">
        <v>3.0</v>
      </c>
      <c r="F360" s="6">
        <v>3411.03</v>
      </c>
      <c r="G360" s="2" t="s">
        <v>1146</v>
      </c>
      <c r="H360" s="2" t="s">
        <v>1147</v>
      </c>
      <c r="I360" s="2" t="s">
        <v>1148</v>
      </c>
    </row>
    <row r="361" ht="15.75" customHeight="1">
      <c r="A361" s="1">
        <v>45612.0</v>
      </c>
      <c r="B361" s="2" t="s">
        <v>74</v>
      </c>
      <c r="C361" s="2" t="s">
        <v>119</v>
      </c>
      <c r="D361" s="5">
        <v>1216.59</v>
      </c>
      <c r="E361" s="5">
        <v>3.0</v>
      </c>
      <c r="F361" s="6">
        <v>3649.77</v>
      </c>
      <c r="G361" s="2" t="s">
        <v>1149</v>
      </c>
      <c r="H361" s="2" t="s">
        <v>1150</v>
      </c>
      <c r="I361" s="2" t="s">
        <v>1151</v>
      </c>
    </row>
    <row r="362" ht="15.75" customHeight="1">
      <c r="A362" s="1">
        <v>45612.0</v>
      </c>
      <c r="B362" s="2" t="s">
        <v>14</v>
      </c>
      <c r="C362" s="2" t="s">
        <v>79</v>
      </c>
      <c r="D362" s="5">
        <v>1141.88</v>
      </c>
      <c r="E362" s="5">
        <v>5.0</v>
      </c>
      <c r="F362" s="6">
        <v>5709.4</v>
      </c>
      <c r="G362" s="2" t="s">
        <v>1152</v>
      </c>
      <c r="H362" s="2" t="s">
        <v>1153</v>
      </c>
      <c r="I362" s="2" t="s">
        <v>1154</v>
      </c>
    </row>
    <row r="363" ht="15.75" customHeight="1">
      <c r="A363" s="1">
        <v>45612.0</v>
      </c>
      <c r="B363" s="2" t="s">
        <v>9</v>
      </c>
      <c r="C363" s="2" t="s">
        <v>161</v>
      </c>
      <c r="D363" s="5">
        <v>416.81</v>
      </c>
      <c r="E363" s="5">
        <v>2.0</v>
      </c>
      <c r="F363" s="6">
        <v>833.62</v>
      </c>
      <c r="G363" s="2" t="s">
        <v>1155</v>
      </c>
      <c r="H363" s="2" t="s">
        <v>1156</v>
      </c>
      <c r="I363" s="2" t="s">
        <v>1157</v>
      </c>
    </row>
    <row r="364" ht="15.75" customHeight="1">
      <c r="A364" s="1">
        <v>45612.0</v>
      </c>
      <c r="B364" s="2" t="s">
        <v>9</v>
      </c>
      <c r="C364" s="2" t="s">
        <v>15</v>
      </c>
      <c r="D364" s="5">
        <v>347.49</v>
      </c>
      <c r="E364" s="5">
        <v>5.0</v>
      </c>
      <c r="F364" s="6">
        <v>1737.45</v>
      </c>
      <c r="G364" s="2" t="s">
        <v>1158</v>
      </c>
      <c r="H364" s="2" t="s">
        <v>1159</v>
      </c>
      <c r="I364" s="2" t="s">
        <v>1160</v>
      </c>
    </row>
    <row r="365" ht="15.75" customHeight="1">
      <c r="A365" s="1">
        <v>45612.0</v>
      </c>
      <c r="B365" s="2" t="s">
        <v>57</v>
      </c>
      <c r="C365" s="2" t="s">
        <v>187</v>
      </c>
      <c r="D365" s="5">
        <v>1346.1</v>
      </c>
      <c r="E365" s="5">
        <v>1.0</v>
      </c>
      <c r="F365" s="6">
        <v>1346.1</v>
      </c>
      <c r="G365" s="2" t="s">
        <v>1161</v>
      </c>
      <c r="H365" s="2" t="s">
        <v>1162</v>
      </c>
      <c r="I365" s="2" t="s">
        <v>1163</v>
      </c>
    </row>
    <row r="366" ht="15.75" customHeight="1">
      <c r="A366" s="1">
        <v>45612.0</v>
      </c>
      <c r="B366" s="2" t="s">
        <v>57</v>
      </c>
      <c r="C366" s="2" t="s">
        <v>308</v>
      </c>
      <c r="D366" s="5">
        <v>1101.82</v>
      </c>
      <c r="E366" s="5">
        <v>5.0</v>
      </c>
      <c r="F366" s="6">
        <v>5509.1</v>
      </c>
      <c r="G366" s="2" t="s">
        <v>1164</v>
      </c>
      <c r="H366" s="2" t="s">
        <v>1165</v>
      </c>
      <c r="I366" s="2" t="s">
        <v>1166</v>
      </c>
    </row>
    <row r="367" ht="15.75" customHeight="1">
      <c r="A367" s="1">
        <v>45612.0</v>
      </c>
      <c r="B367" s="2" t="s">
        <v>57</v>
      </c>
      <c r="C367" s="2" t="s">
        <v>179</v>
      </c>
      <c r="D367" s="5">
        <v>1843.37</v>
      </c>
      <c r="E367" s="5">
        <v>3.0</v>
      </c>
      <c r="F367" s="6">
        <v>5530.11</v>
      </c>
      <c r="G367" s="2" t="s">
        <v>1167</v>
      </c>
      <c r="H367" s="2" t="s">
        <v>1168</v>
      </c>
      <c r="I367" s="2" t="s">
        <v>1169</v>
      </c>
    </row>
    <row r="368" ht="15.75" customHeight="1">
      <c r="A368" s="1">
        <v>45612.0</v>
      </c>
      <c r="B368" s="2" t="s">
        <v>74</v>
      </c>
      <c r="C368" s="2" t="s">
        <v>386</v>
      </c>
      <c r="D368" s="5">
        <v>627.26</v>
      </c>
      <c r="E368" s="5">
        <v>1.0</v>
      </c>
      <c r="F368" s="6">
        <v>627.26</v>
      </c>
      <c r="G368" s="2" t="s">
        <v>1170</v>
      </c>
      <c r="H368" s="2" t="s">
        <v>1171</v>
      </c>
      <c r="I368" s="2" t="s">
        <v>1172</v>
      </c>
    </row>
    <row r="369" ht="15.75" customHeight="1">
      <c r="A369" s="1">
        <v>45612.0</v>
      </c>
      <c r="B369" s="2" t="s">
        <v>14</v>
      </c>
      <c r="C369" s="2" t="s">
        <v>370</v>
      </c>
      <c r="D369" s="5">
        <v>1375.44</v>
      </c>
      <c r="E369" s="5">
        <v>4.0</v>
      </c>
      <c r="F369" s="6">
        <v>5501.76</v>
      </c>
      <c r="G369" s="2" t="s">
        <v>1173</v>
      </c>
      <c r="H369" s="2" t="s">
        <v>1174</v>
      </c>
      <c r="I369" s="2" t="s">
        <v>1175</v>
      </c>
    </row>
    <row r="370" ht="15.75" customHeight="1">
      <c r="A370" s="1">
        <v>45612.0</v>
      </c>
      <c r="B370" s="2" t="s">
        <v>57</v>
      </c>
      <c r="C370" s="2" t="s">
        <v>386</v>
      </c>
      <c r="D370" s="5">
        <v>1397.49</v>
      </c>
      <c r="E370" s="5">
        <v>3.0</v>
      </c>
      <c r="F370" s="6">
        <v>4192.47</v>
      </c>
      <c r="G370" s="2" t="s">
        <v>1176</v>
      </c>
      <c r="H370" s="2" t="s">
        <v>1177</v>
      </c>
      <c r="I370" s="2" t="s">
        <v>1178</v>
      </c>
    </row>
    <row r="371" ht="15.75" customHeight="1">
      <c r="A371" s="1">
        <v>45612.0</v>
      </c>
      <c r="B371" s="2" t="s">
        <v>9</v>
      </c>
      <c r="C371" s="2" t="s">
        <v>66</v>
      </c>
      <c r="D371" s="5">
        <v>1203.93</v>
      </c>
      <c r="E371" s="5">
        <v>4.0</v>
      </c>
      <c r="F371" s="6">
        <v>4815.72</v>
      </c>
      <c r="G371" s="2" t="s">
        <v>1179</v>
      </c>
      <c r="H371" s="2" t="s">
        <v>1180</v>
      </c>
      <c r="I371" s="2" t="s">
        <v>1181</v>
      </c>
    </row>
    <row r="372" ht="15.75" customHeight="1">
      <c r="A372" s="1">
        <v>45612.0</v>
      </c>
      <c r="B372" s="2" t="s">
        <v>34</v>
      </c>
      <c r="C372" s="2" t="s">
        <v>58</v>
      </c>
      <c r="D372" s="5">
        <v>1441.97</v>
      </c>
      <c r="E372" s="5">
        <v>3.0</v>
      </c>
      <c r="F372" s="6">
        <v>4325.91</v>
      </c>
      <c r="G372" s="2" t="s">
        <v>1182</v>
      </c>
      <c r="H372" s="2" t="s">
        <v>1183</v>
      </c>
      <c r="I372" s="2" t="s">
        <v>1184</v>
      </c>
    </row>
    <row r="373" ht="15.75" customHeight="1">
      <c r="A373" s="1">
        <v>45612.0</v>
      </c>
      <c r="B373" s="2" t="s">
        <v>14</v>
      </c>
      <c r="C373" s="2" t="s">
        <v>62</v>
      </c>
      <c r="D373" s="5">
        <v>992.95</v>
      </c>
      <c r="E373" s="5">
        <v>3.0</v>
      </c>
      <c r="F373" s="6">
        <v>2978.85</v>
      </c>
      <c r="G373" s="2" t="s">
        <v>1185</v>
      </c>
      <c r="H373" s="2" t="s">
        <v>1186</v>
      </c>
      <c r="I373" s="2" t="s">
        <v>1187</v>
      </c>
    </row>
    <row r="374" ht="15.75" customHeight="1">
      <c r="A374" s="1">
        <v>45612.0</v>
      </c>
      <c r="B374" s="2" t="s">
        <v>34</v>
      </c>
      <c r="C374" s="2" t="s">
        <v>662</v>
      </c>
      <c r="D374" s="5">
        <v>456.65</v>
      </c>
      <c r="E374" s="5">
        <v>2.0</v>
      </c>
      <c r="F374" s="6">
        <v>913.3</v>
      </c>
      <c r="G374" s="2" t="s">
        <v>1188</v>
      </c>
      <c r="H374" s="2" t="s">
        <v>1189</v>
      </c>
      <c r="I374" s="2" t="s">
        <v>1190</v>
      </c>
    </row>
    <row r="375" ht="15.75" customHeight="1">
      <c r="A375" s="1">
        <v>45613.0</v>
      </c>
      <c r="B375" s="2" t="s">
        <v>34</v>
      </c>
      <c r="C375" s="2" t="s">
        <v>834</v>
      </c>
      <c r="D375" s="5">
        <v>2405.31</v>
      </c>
      <c r="E375" s="5">
        <v>5.0</v>
      </c>
      <c r="F375" s="4"/>
      <c r="G375" s="2" t="s">
        <v>1191</v>
      </c>
      <c r="H375" s="2" t="s">
        <v>1192</v>
      </c>
      <c r="I375" s="2" t="s">
        <v>1193</v>
      </c>
    </row>
    <row r="376" ht="15.75" customHeight="1">
      <c r="A376" s="1">
        <v>45613.0</v>
      </c>
      <c r="B376" s="2" t="s">
        <v>74</v>
      </c>
      <c r="C376" s="2" t="s">
        <v>15</v>
      </c>
      <c r="D376" s="5">
        <v>793.37</v>
      </c>
      <c r="E376" s="5">
        <v>2.0</v>
      </c>
      <c r="F376" s="6">
        <v>1586.74</v>
      </c>
      <c r="G376" s="2" t="s">
        <v>1194</v>
      </c>
      <c r="H376" s="2" t="s">
        <v>1195</v>
      </c>
      <c r="I376" s="2" t="s">
        <v>1196</v>
      </c>
    </row>
    <row r="377" ht="15.75" customHeight="1">
      <c r="A377" s="1">
        <v>45613.0</v>
      </c>
      <c r="B377" s="2" t="s">
        <v>74</v>
      </c>
      <c r="C377" s="2" t="s">
        <v>75</v>
      </c>
      <c r="D377" s="5">
        <v>2030.7</v>
      </c>
      <c r="E377" s="5">
        <v>2.0</v>
      </c>
      <c r="F377" s="6">
        <v>4061.4</v>
      </c>
      <c r="G377" s="2" t="s">
        <v>1197</v>
      </c>
      <c r="H377" s="2" t="s">
        <v>1198</v>
      </c>
      <c r="I377" s="2" t="s">
        <v>1199</v>
      </c>
    </row>
    <row r="378" ht="15.75" customHeight="1">
      <c r="A378" s="1">
        <v>45613.0</v>
      </c>
      <c r="B378" s="2" t="s">
        <v>74</v>
      </c>
      <c r="C378" s="2" t="s">
        <v>92</v>
      </c>
      <c r="D378" s="5">
        <v>2127.13</v>
      </c>
      <c r="E378" s="5">
        <v>1.0</v>
      </c>
      <c r="F378" s="6">
        <v>2127.13</v>
      </c>
      <c r="G378" s="2" t="s">
        <v>1200</v>
      </c>
      <c r="H378" s="2" t="s">
        <v>1201</v>
      </c>
      <c r="I378" s="2" t="s">
        <v>1202</v>
      </c>
    </row>
    <row r="379" ht="15.75" customHeight="1">
      <c r="A379" s="1">
        <v>45613.0</v>
      </c>
      <c r="B379" s="3" t="s">
        <v>29</v>
      </c>
      <c r="C379" s="2" t="s">
        <v>386</v>
      </c>
      <c r="D379" s="5">
        <v>2255.29</v>
      </c>
      <c r="E379" s="5">
        <v>3.0</v>
      </c>
      <c r="F379" s="6">
        <v>6765.87</v>
      </c>
      <c r="G379" s="2" t="s">
        <v>1203</v>
      </c>
      <c r="H379" s="2" t="s">
        <v>1204</v>
      </c>
      <c r="I379" s="2" t="s">
        <v>1205</v>
      </c>
    </row>
    <row r="380" ht="15.75" customHeight="1">
      <c r="A380" s="1">
        <v>45613.0</v>
      </c>
      <c r="B380" s="2" t="s">
        <v>74</v>
      </c>
      <c r="C380" s="2" t="s">
        <v>66</v>
      </c>
      <c r="D380" s="5">
        <v>808.48</v>
      </c>
      <c r="E380" s="5">
        <v>4.0</v>
      </c>
      <c r="F380" s="6">
        <v>3233.92</v>
      </c>
      <c r="G380" s="2" t="s">
        <v>1206</v>
      </c>
      <c r="H380" s="2" t="s">
        <v>1207</v>
      </c>
      <c r="I380" s="2" t="s">
        <v>1208</v>
      </c>
    </row>
    <row r="381" ht="15.75" customHeight="1">
      <c r="A381" s="1">
        <v>45613.0</v>
      </c>
      <c r="B381" s="2" t="s">
        <v>14</v>
      </c>
      <c r="C381" s="2" t="s">
        <v>10</v>
      </c>
      <c r="D381" s="5">
        <v>2142.82</v>
      </c>
      <c r="E381" s="5">
        <v>2.0</v>
      </c>
      <c r="F381" s="6">
        <v>4285.64</v>
      </c>
      <c r="G381" s="2" t="s">
        <v>1209</v>
      </c>
      <c r="H381" s="2" t="s">
        <v>1210</v>
      </c>
      <c r="I381" s="2" t="s">
        <v>1211</v>
      </c>
    </row>
    <row r="382" ht="15.75" customHeight="1">
      <c r="A382" s="1">
        <v>45613.0</v>
      </c>
      <c r="B382" s="2" t="s">
        <v>57</v>
      </c>
      <c r="C382" s="2" t="s">
        <v>119</v>
      </c>
      <c r="D382" s="5">
        <v>219.68</v>
      </c>
      <c r="E382" s="5">
        <v>4.0</v>
      </c>
      <c r="F382" s="6">
        <v>878.72</v>
      </c>
      <c r="G382" s="2" t="s">
        <v>1212</v>
      </c>
      <c r="H382" s="2" t="s">
        <v>1213</v>
      </c>
      <c r="I382" s="2" t="s">
        <v>1214</v>
      </c>
    </row>
    <row r="383" ht="15.75" customHeight="1">
      <c r="A383" s="1">
        <v>45613.0</v>
      </c>
      <c r="B383" s="3" t="s">
        <v>29</v>
      </c>
      <c r="C383" s="2" t="s">
        <v>341</v>
      </c>
      <c r="D383" s="5">
        <v>2269.51</v>
      </c>
      <c r="E383" s="5">
        <v>3.0</v>
      </c>
      <c r="F383" s="6">
        <v>6808.53</v>
      </c>
      <c r="G383" s="2" t="s">
        <v>1215</v>
      </c>
      <c r="H383" s="2" t="s">
        <v>1216</v>
      </c>
      <c r="I383" s="2" t="s">
        <v>1217</v>
      </c>
    </row>
    <row r="384" ht="15.75" customHeight="1">
      <c r="A384" s="1">
        <v>45613.0</v>
      </c>
      <c r="B384" s="2" t="s">
        <v>74</v>
      </c>
      <c r="C384" s="2" t="s">
        <v>161</v>
      </c>
      <c r="D384" s="5">
        <v>2002.21</v>
      </c>
      <c r="E384" s="5">
        <v>3.0</v>
      </c>
      <c r="F384" s="6">
        <v>6006.63</v>
      </c>
      <c r="G384" s="2" t="s">
        <v>1218</v>
      </c>
      <c r="H384" s="2" t="s">
        <v>1219</v>
      </c>
      <c r="I384" s="2" t="s">
        <v>1220</v>
      </c>
    </row>
    <row r="385" ht="15.75" customHeight="1">
      <c r="A385" s="1">
        <v>45613.0</v>
      </c>
      <c r="B385" s="3" t="s">
        <v>29</v>
      </c>
      <c r="C385" s="2" t="s">
        <v>396</v>
      </c>
      <c r="D385" s="5">
        <v>877.11</v>
      </c>
      <c r="E385" s="5">
        <v>1.0</v>
      </c>
      <c r="F385" s="6">
        <v>877.11</v>
      </c>
      <c r="G385" s="2" t="s">
        <v>1221</v>
      </c>
      <c r="H385" s="2" t="s">
        <v>1222</v>
      </c>
      <c r="I385" s="2" t="s">
        <v>1223</v>
      </c>
    </row>
    <row r="386" ht="15.75" customHeight="1">
      <c r="A386" s="1">
        <v>45613.0</v>
      </c>
      <c r="B386" s="3" t="s">
        <v>29</v>
      </c>
      <c r="C386" s="2" t="s">
        <v>230</v>
      </c>
      <c r="D386" s="5">
        <v>304.68</v>
      </c>
      <c r="E386" s="5">
        <v>5.0</v>
      </c>
      <c r="F386" s="6">
        <v>1523.4</v>
      </c>
      <c r="G386" s="2" t="s">
        <v>1224</v>
      </c>
      <c r="H386" s="2" t="s">
        <v>1225</v>
      </c>
      <c r="I386" s="2" t="s">
        <v>1226</v>
      </c>
    </row>
    <row r="387" ht="15.75" customHeight="1">
      <c r="A387" s="1">
        <v>45614.0</v>
      </c>
      <c r="B387" s="2" t="s">
        <v>57</v>
      </c>
      <c r="C387" s="2" t="s">
        <v>183</v>
      </c>
      <c r="D387" s="5">
        <v>1533.19</v>
      </c>
      <c r="E387" s="5">
        <v>4.0</v>
      </c>
      <c r="F387" s="6">
        <v>6132.76</v>
      </c>
      <c r="G387" s="2" t="s">
        <v>1227</v>
      </c>
      <c r="H387" s="2" t="s">
        <v>1228</v>
      </c>
      <c r="I387" s="2" t="s">
        <v>1229</v>
      </c>
    </row>
    <row r="388" ht="15.75" customHeight="1">
      <c r="A388" s="1">
        <v>45614.0</v>
      </c>
      <c r="B388" s="2" t="s">
        <v>9</v>
      </c>
      <c r="C388" s="2" t="s">
        <v>15</v>
      </c>
      <c r="D388" s="5">
        <v>1141.13</v>
      </c>
      <c r="E388" s="5">
        <v>3.0</v>
      </c>
      <c r="F388" s="6">
        <v>3423.39</v>
      </c>
      <c r="G388" s="2" t="s">
        <v>1230</v>
      </c>
      <c r="H388" s="2" t="s">
        <v>1231</v>
      </c>
      <c r="I388" s="2" t="s">
        <v>1232</v>
      </c>
    </row>
    <row r="389" ht="15.75" customHeight="1">
      <c r="A389" s="1">
        <v>45614.0</v>
      </c>
      <c r="B389" s="2" t="s">
        <v>14</v>
      </c>
      <c r="C389" s="2" t="s">
        <v>341</v>
      </c>
      <c r="D389" s="5">
        <v>890.76</v>
      </c>
      <c r="E389" s="5">
        <v>2.0</v>
      </c>
      <c r="F389" s="6">
        <v>1781.52</v>
      </c>
      <c r="G389" s="2" t="s">
        <v>1233</v>
      </c>
      <c r="H389" s="2" t="s">
        <v>1234</v>
      </c>
      <c r="I389" s="2" t="s">
        <v>1235</v>
      </c>
    </row>
    <row r="390" ht="15.75" customHeight="1">
      <c r="A390" s="1">
        <v>45614.0</v>
      </c>
      <c r="B390" s="2" t="s">
        <v>9</v>
      </c>
      <c r="C390" s="2" t="s">
        <v>662</v>
      </c>
      <c r="D390" s="5">
        <v>1307.54</v>
      </c>
      <c r="E390" s="5">
        <v>1.0</v>
      </c>
      <c r="F390" s="6">
        <v>1307.54</v>
      </c>
      <c r="G390" s="2" t="s">
        <v>1236</v>
      </c>
      <c r="H390" s="2" t="s">
        <v>1237</v>
      </c>
      <c r="I390" s="2" t="s">
        <v>1238</v>
      </c>
    </row>
    <row r="391" ht="15.75" customHeight="1">
      <c r="A391" s="1">
        <v>45614.0</v>
      </c>
      <c r="B391" s="2" t="s">
        <v>14</v>
      </c>
      <c r="C391" s="2" t="s">
        <v>10</v>
      </c>
      <c r="D391" s="5">
        <v>1178.53</v>
      </c>
      <c r="E391" s="5">
        <v>2.0</v>
      </c>
      <c r="F391" s="6">
        <v>2357.06</v>
      </c>
      <c r="G391" s="2" t="s">
        <v>1239</v>
      </c>
      <c r="H391" s="2" t="s">
        <v>1240</v>
      </c>
      <c r="I391" s="2" t="s">
        <v>1241</v>
      </c>
    </row>
    <row r="392" ht="15.75" customHeight="1">
      <c r="A392" s="1">
        <v>45614.0</v>
      </c>
      <c r="B392" s="2" t="s">
        <v>74</v>
      </c>
      <c r="C392" s="2" t="s">
        <v>252</v>
      </c>
      <c r="D392" s="5">
        <v>1217.56</v>
      </c>
      <c r="E392" s="5">
        <v>3.0</v>
      </c>
      <c r="F392" s="6">
        <v>3652.68</v>
      </c>
      <c r="G392" s="2" t="s">
        <v>1242</v>
      </c>
      <c r="H392" s="2" t="s">
        <v>1243</v>
      </c>
      <c r="I392" s="2" t="s">
        <v>1244</v>
      </c>
    </row>
    <row r="393" ht="15.75" customHeight="1">
      <c r="A393" s="1">
        <v>45614.0</v>
      </c>
      <c r="B393" s="2" t="s">
        <v>14</v>
      </c>
      <c r="C393" s="2" t="s">
        <v>75</v>
      </c>
      <c r="D393" s="5">
        <v>2191.24</v>
      </c>
      <c r="E393" s="5">
        <v>5.0</v>
      </c>
      <c r="F393" s="6">
        <v>10956.2</v>
      </c>
      <c r="G393" s="2" t="s">
        <v>1245</v>
      </c>
      <c r="H393" s="2" t="s">
        <v>1246</v>
      </c>
      <c r="I393" s="2" t="s">
        <v>1247</v>
      </c>
    </row>
    <row r="394" ht="15.75" customHeight="1">
      <c r="A394" s="1">
        <v>45614.0</v>
      </c>
      <c r="B394" s="2" t="s">
        <v>14</v>
      </c>
      <c r="C394" s="2" t="s">
        <v>370</v>
      </c>
      <c r="D394" s="5">
        <v>276.58</v>
      </c>
      <c r="E394" s="5">
        <v>1.0</v>
      </c>
      <c r="F394" s="6">
        <v>276.58</v>
      </c>
      <c r="G394" s="2" t="s">
        <v>1248</v>
      </c>
      <c r="H394" s="2" t="s">
        <v>1249</v>
      </c>
      <c r="I394" s="2" t="s">
        <v>1250</v>
      </c>
    </row>
    <row r="395" ht="15.75" customHeight="1">
      <c r="A395" s="1">
        <v>45614.0</v>
      </c>
      <c r="B395" s="2" t="s">
        <v>14</v>
      </c>
      <c r="C395" s="2" t="s">
        <v>58</v>
      </c>
      <c r="D395" s="5">
        <v>2426.87</v>
      </c>
      <c r="E395" s="5">
        <v>5.0</v>
      </c>
      <c r="F395" s="6">
        <v>12134.35</v>
      </c>
      <c r="G395" s="2" t="s">
        <v>1251</v>
      </c>
      <c r="H395" s="2" t="s">
        <v>1252</v>
      </c>
      <c r="I395" s="2" t="s">
        <v>1253</v>
      </c>
    </row>
    <row r="396" ht="15.75" customHeight="1">
      <c r="A396" s="1">
        <v>45615.0</v>
      </c>
      <c r="B396" s="2" t="s">
        <v>9</v>
      </c>
      <c r="C396" s="2" t="s">
        <v>62</v>
      </c>
      <c r="D396" s="5">
        <v>1077.1</v>
      </c>
      <c r="E396" s="5">
        <v>5.0</v>
      </c>
      <c r="F396" s="6">
        <v>5385.5</v>
      </c>
      <c r="G396" s="2" t="s">
        <v>1254</v>
      </c>
      <c r="H396" s="2" t="s">
        <v>1255</v>
      </c>
      <c r="I396" s="2" t="s">
        <v>1256</v>
      </c>
    </row>
    <row r="397" ht="15.75" customHeight="1">
      <c r="A397" s="1">
        <v>45615.0</v>
      </c>
      <c r="B397" s="3" t="s">
        <v>29</v>
      </c>
      <c r="C397" s="2" t="s">
        <v>183</v>
      </c>
      <c r="D397" s="5">
        <v>920.68</v>
      </c>
      <c r="E397" s="5">
        <v>3.0</v>
      </c>
      <c r="F397" s="6">
        <v>2762.04</v>
      </c>
      <c r="G397" s="2" t="s">
        <v>1257</v>
      </c>
      <c r="H397" s="2" t="s">
        <v>1258</v>
      </c>
      <c r="I397" s="2" t="s">
        <v>1259</v>
      </c>
    </row>
    <row r="398" ht="15.75" customHeight="1">
      <c r="A398" s="1">
        <v>45615.0</v>
      </c>
      <c r="B398" s="2" t="s">
        <v>34</v>
      </c>
      <c r="C398" s="2" t="s">
        <v>215</v>
      </c>
      <c r="D398" s="5">
        <v>1620.89</v>
      </c>
      <c r="E398" s="5">
        <v>3.0</v>
      </c>
      <c r="F398" s="6">
        <v>4862.67</v>
      </c>
      <c r="G398" s="2" t="s">
        <v>1260</v>
      </c>
      <c r="H398" s="2" t="s">
        <v>1261</v>
      </c>
      <c r="I398" s="2" t="s">
        <v>1262</v>
      </c>
    </row>
    <row r="399" ht="15.75" customHeight="1">
      <c r="A399" s="1">
        <v>45615.0</v>
      </c>
      <c r="B399" s="3" t="s">
        <v>29</v>
      </c>
      <c r="C399" s="2" t="s">
        <v>215</v>
      </c>
      <c r="D399" s="5">
        <v>653.09</v>
      </c>
      <c r="E399" s="5">
        <v>4.0</v>
      </c>
      <c r="F399" s="6">
        <v>2612.36</v>
      </c>
      <c r="G399" s="2" t="s">
        <v>1263</v>
      </c>
      <c r="H399" s="2" t="s">
        <v>1264</v>
      </c>
      <c r="I399" s="2" t="s">
        <v>1265</v>
      </c>
    </row>
    <row r="400" ht="15.75" customHeight="1">
      <c r="A400" s="1">
        <v>45615.0</v>
      </c>
      <c r="B400" s="3" t="s">
        <v>29</v>
      </c>
      <c r="C400" s="2" t="s">
        <v>226</v>
      </c>
      <c r="D400" s="5">
        <v>1057.56</v>
      </c>
      <c r="E400" s="5">
        <v>5.0</v>
      </c>
      <c r="F400" s="6">
        <v>5287.8</v>
      </c>
      <c r="G400" s="2" t="s">
        <v>1266</v>
      </c>
      <c r="H400" s="2" t="s">
        <v>1267</v>
      </c>
      <c r="I400" s="2" t="s">
        <v>1268</v>
      </c>
    </row>
    <row r="401" ht="15.75" customHeight="1">
      <c r="A401" s="1">
        <v>45615.0</v>
      </c>
      <c r="B401" s="2" t="s">
        <v>34</v>
      </c>
      <c r="C401" s="2" t="s">
        <v>62</v>
      </c>
      <c r="D401" s="5">
        <v>1292.9</v>
      </c>
      <c r="E401" s="5">
        <v>2.0</v>
      </c>
      <c r="F401" s="6">
        <v>2585.8</v>
      </c>
      <c r="G401" s="2" t="s">
        <v>1269</v>
      </c>
      <c r="H401" s="2" t="s">
        <v>1270</v>
      </c>
      <c r="I401" s="2" t="s">
        <v>1271</v>
      </c>
    </row>
    <row r="402" ht="15.75" customHeight="1">
      <c r="A402" s="1">
        <v>45615.0</v>
      </c>
      <c r="B402" s="2" t="s">
        <v>14</v>
      </c>
      <c r="C402" s="2" t="s">
        <v>30</v>
      </c>
      <c r="D402" s="5">
        <v>173.04</v>
      </c>
      <c r="E402" s="5">
        <v>2.0</v>
      </c>
      <c r="F402" s="6">
        <v>346.08</v>
      </c>
      <c r="G402" s="2" t="s">
        <v>1272</v>
      </c>
      <c r="H402" s="2" t="s">
        <v>1273</v>
      </c>
      <c r="I402" s="2" t="s">
        <v>1274</v>
      </c>
    </row>
    <row r="403" ht="15.75" customHeight="1">
      <c r="A403" s="1">
        <v>45615.0</v>
      </c>
      <c r="B403" s="2" t="s">
        <v>34</v>
      </c>
      <c r="C403" s="2" t="s">
        <v>83</v>
      </c>
      <c r="D403" s="5">
        <v>221.44</v>
      </c>
      <c r="E403" s="5">
        <v>3.0</v>
      </c>
      <c r="F403" s="6">
        <v>664.32</v>
      </c>
      <c r="G403" s="2" t="s">
        <v>1275</v>
      </c>
      <c r="H403" s="2" t="s">
        <v>1276</v>
      </c>
      <c r="I403" s="2" t="s">
        <v>1277</v>
      </c>
    </row>
    <row r="404" ht="15.75" customHeight="1">
      <c r="A404" s="1">
        <v>45615.0</v>
      </c>
      <c r="B404" s="3" t="s">
        <v>29</v>
      </c>
      <c r="C404" s="2" t="s">
        <v>151</v>
      </c>
      <c r="D404" s="5">
        <v>2185.04</v>
      </c>
      <c r="E404" s="5">
        <v>4.0</v>
      </c>
      <c r="F404" s="6">
        <v>8740.16</v>
      </c>
      <c r="G404" s="2" t="s">
        <v>1278</v>
      </c>
      <c r="H404" s="2" t="s">
        <v>1279</v>
      </c>
      <c r="I404" s="2" t="s">
        <v>1280</v>
      </c>
    </row>
    <row r="405" ht="15.75" customHeight="1">
      <c r="A405" s="1">
        <v>45615.0</v>
      </c>
      <c r="B405" s="2" t="s">
        <v>57</v>
      </c>
      <c r="C405" s="2" t="s">
        <v>386</v>
      </c>
      <c r="D405" s="5">
        <v>2214.19</v>
      </c>
      <c r="E405" s="5">
        <v>2.0</v>
      </c>
      <c r="F405" s="6">
        <v>4428.38</v>
      </c>
      <c r="G405" s="2" t="s">
        <v>1281</v>
      </c>
      <c r="H405" s="2" t="s">
        <v>1282</v>
      </c>
      <c r="I405" s="2" t="s">
        <v>1283</v>
      </c>
    </row>
    <row r="406" ht="15.75" customHeight="1">
      <c r="A406" s="8">
        <v>45615.0</v>
      </c>
      <c r="B406" s="2" t="s">
        <v>74</v>
      </c>
      <c r="C406" s="2" t="s">
        <v>662</v>
      </c>
      <c r="D406" s="5">
        <v>215.41</v>
      </c>
      <c r="E406" s="5">
        <v>1.0</v>
      </c>
      <c r="F406" s="6">
        <v>215.41</v>
      </c>
      <c r="G406" s="2" t="s">
        <v>1284</v>
      </c>
      <c r="H406" s="2" t="s">
        <v>1285</v>
      </c>
      <c r="I406" s="2" t="s">
        <v>1286</v>
      </c>
    </row>
    <row r="407" ht="15.75" customHeight="1">
      <c r="A407" s="1">
        <v>45615.0</v>
      </c>
      <c r="B407" s="2" t="s">
        <v>14</v>
      </c>
      <c r="C407" s="2" t="s">
        <v>39</v>
      </c>
      <c r="D407" s="5">
        <v>1097.51</v>
      </c>
      <c r="E407" s="5">
        <v>1.0</v>
      </c>
      <c r="F407" s="6">
        <v>1097.51</v>
      </c>
      <c r="G407" s="2" t="s">
        <v>1287</v>
      </c>
      <c r="H407" s="2" t="s">
        <v>1288</v>
      </c>
      <c r="I407" s="2" t="s">
        <v>1289</v>
      </c>
    </row>
    <row r="408" ht="15.75" customHeight="1">
      <c r="A408" s="1">
        <v>45615.0</v>
      </c>
      <c r="B408" s="3" t="s">
        <v>29</v>
      </c>
      <c r="C408" s="2" t="s">
        <v>39</v>
      </c>
      <c r="D408" s="5">
        <v>1868.8</v>
      </c>
      <c r="E408" s="5">
        <v>2.0</v>
      </c>
      <c r="F408" s="6">
        <v>3737.6</v>
      </c>
      <c r="G408" s="2" t="s">
        <v>1290</v>
      </c>
      <c r="H408" s="2" t="s">
        <v>1291</v>
      </c>
      <c r="I408" s="2" t="s">
        <v>1292</v>
      </c>
    </row>
    <row r="409" ht="15.75" customHeight="1">
      <c r="A409" s="1">
        <v>45616.0</v>
      </c>
      <c r="B409" s="2" t="s">
        <v>34</v>
      </c>
      <c r="C409" s="2" t="s">
        <v>62</v>
      </c>
      <c r="D409" s="5">
        <v>2371.6</v>
      </c>
      <c r="E409" s="5">
        <v>2.0</v>
      </c>
      <c r="F409" s="6">
        <v>4743.2</v>
      </c>
      <c r="G409" s="2" t="s">
        <v>1293</v>
      </c>
      <c r="H409" s="2" t="s">
        <v>1294</v>
      </c>
      <c r="I409" s="2" t="s">
        <v>1295</v>
      </c>
    </row>
    <row r="410" ht="15.75" customHeight="1">
      <c r="A410" s="1">
        <v>45616.0</v>
      </c>
      <c r="B410" s="2" t="s">
        <v>57</v>
      </c>
      <c r="C410" s="2" t="s">
        <v>92</v>
      </c>
      <c r="D410" s="5">
        <v>1752.92</v>
      </c>
      <c r="E410" s="5">
        <v>1.0</v>
      </c>
      <c r="F410" s="6">
        <v>1752.92</v>
      </c>
      <c r="G410" s="2" t="s">
        <v>1296</v>
      </c>
      <c r="H410" s="2" t="s">
        <v>1297</v>
      </c>
      <c r="I410" s="2" t="s">
        <v>1298</v>
      </c>
    </row>
    <row r="411" ht="15.75" customHeight="1">
      <c r="A411" s="1">
        <v>45616.0</v>
      </c>
      <c r="B411" s="2" t="s">
        <v>57</v>
      </c>
      <c r="C411" s="2" t="s">
        <v>341</v>
      </c>
      <c r="D411" s="5">
        <v>210.76</v>
      </c>
      <c r="E411" s="5">
        <v>5.0</v>
      </c>
      <c r="F411" s="6">
        <v>1053.8</v>
      </c>
      <c r="G411" s="2" t="s">
        <v>1299</v>
      </c>
      <c r="H411" s="2" t="s">
        <v>1300</v>
      </c>
      <c r="I411" s="2" t="s">
        <v>1301</v>
      </c>
    </row>
    <row r="412" ht="15.75" customHeight="1">
      <c r="A412" s="1">
        <v>45616.0</v>
      </c>
      <c r="B412" s="2" t="s">
        <v>34</v>
      </c>
      <c r="C412" s="2" t="s">
        <v>49</v>
      </c>
      <c r="D412" s="5">
        <v>1145.32</v>
      </c>
      <c r="E412" s="5">
        <v>1.0</v>
      </c>
      <c r="F412" s="6">
        <v>1145.32</v>
      </c>
      <c r="G412" s="2" t="s">
        <v>1302</v>
      </c>
      <c r="H412" s="2" t="s">
        <v>1303</v>
      </c>
      <c r="I412" s="2" t="s">
        <v>1304</v>
      </c>
    </row>
    <row r="413" ht="15.75" customHeight="1">
      <c r="A413" s="1">
        <v>45616.0</v>
      </c>
      <c r="B413" s="2" t="s">
        <v>9</v>
      </c>
      <c r="C413" s="2" t="s">
        <v>35</v>
      </c>
      <c r="D413" s="5">
        <v>1017.27</v>
      </c>
      <c r="E413" s="5">
        <v>1.0</v>
      </c>
      <c r="F413" s="6">
        <v>1017.27</v>
      </c>
      <c r="G413" s="2" t="s">
        <v>1305</v>
      </c>
      <c r="H413" s="2" t="s">
        <v>1306</v>
      </c>
      <c r="I413" s="2" t="s">
        <v>1307</v>
      </c>
    </row>
    <row r="414" ht="15.75" customHeight="1">
      <c r="A414" s="1">
        <v>45616.0</v>
      </c>
      <c r="B414" s="2" t="s">
        <v>74</v>
      </c>
      <c r="C414" s="2" t="s">
        <v>66</v>
      </c>
      <c r="D414" s="5">
        <v>2246.65</v>
      </c>
      <c r="E414" s="5">
        <v>2.0</v>
      </c>
      <c r="F414" s="6">
        <v>4493.3</v>
      </c>
      <c r="G414" s="2" t="s">
        <v>1308</v>
      </c>
      <c r="H414" s="2" t="s">
        <v>1309</v>
      </c>
      <c r="I414" s="2" t="s">
        <v>1310</v>
      </c>
    </row>
    <row r="415" ht="15.75" customHeight="1">
      <c r="A415" s="1">
        <v>45616.0</v>
      </c>
      <c r="B415" s="2" t="s">
        <v>34</v>
      </c>
      <c r="C415" s="2" t="s">
        <v>66</v>
      </c>
      <c r="D415" s="5">
        <v>269.57</v>
      </c>
      <c r="E415" s="5">
        <v>5.0</v>
      </c>
      <c r="F415" s="6">
        <v>1347.85</v>
      </c>
      <c r="G415" s="2" t="s">
        <v>1311</v>
      </c>
      <c r="H415" s="2" t="s">
        <v>1312</v>
      </c>
      <c r="I415" s="2" t="s">
        <v>1313</v>
      </c>
    </row>
    <row r="416" ht="15.75" customHeight="1">
      <c r="A416" s="1">
        <v>45616.0</v>
      </c>
      <c r="B416" s="2" t="s">
        <v>57</v>
      </c>
      <c r="C416" s="2" t="s">
        <v>187</v>
      </c>
      <c r="D416" s="5">
        <v>2189.91</v>
      </c>
      <c r="E416" s="5">
        <v>3.0</v>
      </c>
      <c r="F416" s="6">
        <v>6569.73</v>
      </c>
      <c r="G416" s="2" t="s">
        <v>1314</v>
      </c>
      <c r="H416" s="2" t="s">
        <v>1315</v>
      </c>
      <c r="I416" s="2" t="s">
        <v>1316</v>
      </c>
    </row>
    <row r="417" ht="15.75" customHeight="1">
      <c r="A417" s="1">
        <v>45616.0</v>
      </c>
      <c r="B417" s="2" t="s">
        <v>57</v>
      </c>
      <c r="C417" s="2" t="s">
        <v>130</v>
      </c>
      <c r="D417" s="5">
        <v>1130.03</v>
      </c>
      <c r="E417" s="5">
        <v>5.0</v>
      </c>
      <c r="F417" s="6">
        <v>5650.15</v>
      </c>
      <c r="G417" s="2" t="s">
        <v>1317</v>
      </c>
      <c r="H417" s="2" t="s">
        <v>1318</v>
      </c>
      <c r="I417" s="2" t="s">
        <v>1319</v>
      </c>
    </row>
    <row r="418" ht="15.75" customHeight="1">
      <c r="A418" s="1">
        <v>45616.0</v>
      </c>
      <c r="B418" s="3" t="s">
        <v>29</v>
      </c>
      <c r="C418" s="2" t="s">
        <v>662</v>
      </c>
      <c r="D418" s="5">
        <v>1485.74</v>
      </c>
      <c r="E418" s="5">
        <v>3.0</v>
      </c>
      <c r="F418" s="6">
        <v>4457.22</v>
      </c>
      <c r="G418" s="2" t="s">
        <v>1320</v>
      </c>
      <c r="H418" s="2" t="s">
        <v>1321</v>
      </c>
      <c r="I418" s="2" t="s">
        <v>1322</v>
      </c>
    </row>
    <row r="419" ht="15.75" customHeight="1">
      <c r="A419" s="1">
        <v>45616.0</v>
      </c>
      <c r="B419" s="2" t="s">
        <v>34</v>
      </c>
      <c r="C419" s="2" t="s">
        <v>169</v>
      </c>
      <c r="D419" s="5">
        <v>1570.12</v>
      </c>
      <c r="E419" s="5">
        <v>3.0</v>
      </c>
      <c r="F419" s="6">
        <v>4710.36</v>
      </c>
      <c r="G419" s="2" t="s">
        <v>1323</v>
      </c>
      <c r="H419" s="2" t="s">
        <v>1324</v>
      </c>
      <c r="I419" s="2" t="s">
        <v>1325</v>
      </c>
    </row>
    <row r="420" ht="15.75" customHeight="1">
      <c r="A420" s="1">
        <v>45616.0</v>
      </c>
      <c r="B420" s="2" t="s">
        <v>9</v>
      </c>
      <c r="C420" s="2" t="s">
        <v>222</v>
      </c>
      <c r="D420" s="5">
        <v>2469.75</v>
      </c>
      <c r="E420" s="5">
        <v>3.0</v>
      </c>
      <c r="F420" s="6">
        <v>7409.25</v>
      </c>
      <c r="G420" s="2" t="s">
        <v>1326</v>
      </c>
      <c r="H420" s="2" t="s">
        <v>1327</v>
      </c>
      <c r="I420" s="2" t="s">
        <v>1328</v>
      </c>
    </row>
    <row r="421" ht="15.75" customHeight="1">
      <c r="A421" s="1">
        <v>45617.0</v>
      </c>
      <c r="B421" s="2" t="s">
        <v>9</v>
      </c>
      <c r="C421" s="2" t="s">
        <v>88</v>
      </c>
      <c r="D421" s="5">
        <v>1738.96</v>
      </c>
      <c r="E421" s="5">
        <v>4.0</v>
      </c>
      <c r="F421" s="6">
        <v>6955.84</v>
      </c>
      <c r="G421" s="2" t="s">
        <v>1329</v>
      </c>
      <c r="H421" s="2" t="s">
        <v>1330</v>
      </c>
      <c r="I421" s="2" t="s">
        <v>1331</v>
      </c>
    </row>
    <row r="422" ht="15.75" customHeight="1">
      <c r="A422" s="1">
        <v>45617.0</v>
      </c>
      <c r="B422" s="2" t="s">
        <v>14</v>
      </c>
      <c r="C422" s="2" t="s">
        <v>179</v>
      </c>
      <c r="D422" s="5">
        <v>1987.27</v>
      </c>
      <c r="E422" s="5">
        <v>3.0</v>
      </c>
      <c r="F422" s="6">
        <v>5961.81</v>
      </c>
      <c r="G422" s="2" t="s">
        <v>1332</v>
      </c>
      <c r="H422" s="2" t="s">
        <v>1333</v>
      </c>
      <c r="I422" s="2" t="s">
        <v>1334</v>
      </c>
    </row>
    <row r="423" ht="15.75" customHeight="1">
      <c r="A423" s="1">
        <v>45617.0</v>
      </c>
      <c r="B423" s="2" t="s">
        <v>9</v>
      </c>
      <c r="C423" s="2" t="s">
        <v>58</v>
      </c>
      <c r="D423" s="5">
        <v>1640.14</v>
      </c>
      <c r="E423" s="5">
        <v>5.0</v>
      </c>
      <c r="F423" s="6">
        <v>8200.7</v>
      </c>
      <c r="G423" s="2" t="s">
        <v>1335</v>
      </c>
      <c r="H423" s="2" t="s">
        <v>1336</v>
      </c>
      <c r="I423" s="2" t="s">
        <v>1337</v>
      </c>
    </row>
    <row r="424" ht="15.75" customHeight="1">
      <c r="A424" s="1">
        <v>45617.0</v>
      </c>
      <c r="B424" s="2" t="s">
        <v>57</v>
      </c>
      <c r="C424" s="2" t="s">
        <v>427</v>
      </c>
      <c r="D424" s="5">
        <v>2420.41</v>
      </c>
      <c r="E424" s="5">
        <v>2.0</v>
      </c>
      <c r="F424" s="6">
        <v>4840.82</v>
      </c>
      <c r="G424" s="2" t="s">
        <v>1338</v>
      </c>
      <c r="H424" s="2" t="s">
        <v>1339</v>
      </c>
      <c r="I424" s="2" t="s">
        <v>1340</v>
      </c>
    </row>
    <row r="425" ht="15.75" customHeight="1">
      <c r="A425" s="1">
        <v>45617.0</v>
      </c>
      <c r="B425" s="2" t="s">
        <v>57</v>
      </c>
      <c r="C425" s="2" t="s">
        <v>222</v>
      </c>
      <c r="D425" s="5">
        <v>495.51</v>
      </c>
      <c r="E425" s="5">
        <v>2.0</v>
      </c>
      <c r="F425" s="6">
        <v>991.02</v>
      </c>
      <c r="G425" s="2" t="s">
        <v>1341</v>
      </c>
      <c r="H425" s="2" t="s">
        <v>1342</v>
      </c>
      <c r="I425" s="2" t="s">
        <v>1343</v>
      </c>
    </row>
    <row r="426" ht="15.75" customHeight="1">
      <c r="A426" s="1">
        <v>45617.0</v>
      </c>
      <c r="B426" s="2" t="s">
        <v>9</v>
      </c>
      <c r="C426" s="2" t="s">
        <v>341</v>
      </c>
      <c r="D426" s="5">
        <v>299.66</v>
      </c>
      <c r="E426" s="5">
        <v>3.0</v>
      </c>
      <c r="F426" s="6">
        <v>898.98</v>
      </c>
      <c r="G426" s="2" t="s">
        <v>1344</v>
      </c>
      <c r="H426" s="2" t="s">
        <v>1345</v>
      </c>
      <c r="I426" s="2" t="s">
        <v>1346</v>
      </c>
    </row>
    <row r="427" ht="15.75" customHeight="1">
      <c r="A427" s="1">
        <v>45617.0</v>
      </c>
      <c r="B427" s="2" t="s">
        <v>74</v>
      </c>
      <c r="C427" s="2" t="s">
        <v>226</v>
      </c>
      <c r="D427" s="5">
        <v>510.78</v>
      </c>
      <c r="E427" s="5">
        <v>3.0</v>
      </c>
      <c r="F427" s="6">
        <v>1532.34</v>
      </c>
      <c r="G427" s="2" t="s">
        <v>1347</v>
      </c>
      <c r="H427" s="2" t="s">
        <v>1348</v>
      </c>
      <c r="I427" s="2" t="s">
        <v>1349</v>
      </c>
    </row>
    <row r="428" ht="15.75" customHeight="1">
      <c r="A428" s="1">
        <v>45617.0</v>
      </c>
      <c r="B428" s="2" t="s">
        <v>114</v>
      </c>
      <c r="C428" s="2" t="s">
        <v>165</v>
      </c>
      <c r="D428" s="5">
        <v>2399.53</v>
      </c>
      <c r="E428" s="5">
        <v>3.0</v>
      </c>
      <c r="F428" s="4"/>
      <c r="G428" s="2" t="s">
        <v>1350</v>
      </c>
      <c r="H428" s="2" t="s">
        <v>1351</v>
      </c>
      <c r="I428" s="2" t="s">
        <v>1352</v>
      </c>
    </row>
    <row r="429" ht="15.75" customHeight="1">
      <c r="A429" s="1">
        <v>45617.0</v>
      </c>
      <c r="B429" s="2" t="s">
        <v>74</v>
      </c>
      <c r="C429" s="2" t="s">
        <v>22</v>
      </c>
      <c r="D429" s="2"/>
      <c r="E429" s="5">
        <v>4.0</v>
      </c>
      <c r="F429" s="6">
        <v>9635.4</v>
      </c>
      <c r="G429" s="2" t="s">
        <v>1353</v>
      </c>
      <c r="H429" s="2" t="s">
        <v>1354</v>
      </c>
      <c r="I429" s="2" t="s">
        <v>1355</v>
      </c>
    </row>
    <row r="430" ht="15.75" customHeight="1">
      <c r="A430" s="1">
        <v>45617.0</v>
      </c>
      <c r="B430" s="2" t="s">
        <v>9</v>
      </c>
      <c r="C430" s="2" t="s">
        <v>53</v>
      </c>
      <c r="D430" s="5">
        <v>1944.02</v>
      </c>
      <c r="E430" s="5">
        <v>1.0</v>
      </c>
      <c r="F430" s="6">
        <v>1944.02</v>
      </c>
      <c r="G430" s="2" t="s">
        <v>1356</v>
      </c>
      <c r="H430" s="2" t="s">
        <v>1357</v>
      </c>
      <c r="I430" s="2" t="s">
        <v>1358</v>
      </c>
    </row>
    <row r="431" ht="15.75" customHeight="1">
      <c r="A431" s="1">
        <v>45617.0</v>
      </c>
      <c r="B431" s="2" t="s">
        <v>14</v>
      </c>
      <c r="C431" s="2" t="s">
        <v>386</v>
      </c>
      <c r="D431" s="5">
        <v>1160.21</v>
      </c>
      <c r="E431" s="5">
        <v>2.0</v>
      </c>
      <c r="F431" s="6">
        <v>2320.42</v>
      </c>
      <c r="G431" s="2" t="s">
        <v>1359</v>
      </c>
      <c r="H431" s="2" t="s">
        <v>1360</v>
      </c>
      <c r="I431" s="2" t="s">
        <v>1361</v>
      </c>
    </row>
    <row r="432" ht="15.75" customHeight="1">
      <c r="A432" s="1">
        <v>45617.0</v>
      </c>
      <c r="B432" s="3" t="s">
        <v>29</v>
      </c>
      <c r="C432" s="2" t="s">
        <v>137</v>
      </c>
      <c r="D432" s="5">
        <v>536.87</v>
      </c>
      <c r="E432" s="5">
        <v>1.0</v>
      </c>
      <c r="F432" s="6">
        <v>536.87</v>
      </c>
      <c r="G432" s="2" t="s">
        <v>1362</v>
      </c>
      <c r="H432" s="2" t="s">
        <v>1363</v>
      </c>
      <c r="I432" s="2" t="s">
        <v>1364</v>
      </c>
    </row>
    <row r="433" ht="15.75" customHeight="1">
      <c r="A433" s="1">
        <v>45618.0</v>
      </c>
      <c r="B433" s="3" t="s">
        <v>29</v>
      </c>
      <c r="C433" s="2" t="s">
        <v>49</v>
      </c>
      <c r="D433" s="5">
        <v>416.62</v>
      </c>
      <c r="E433" s="5">
        <v>5.0</v>
      </c>
      <c r="F433" s="6">
        <v>2083.1</v>
      </c>
      <c r="G433" s="2" t="s">
        <v>1365</v>
      </c>
      <c r="H433" s="2" t="s">
        <v>1366</v>
      </c>
      <c r="I433" s="2" t="s">
        <v>1367</v>
      </c>
    </row>
    <row r="434" ht="15.75" customHeight="1">
      <c r="A434" s="1">
        <v>45618.0</v>
      </c>
      <c r="B434" s="2" t="s">
        <v>34</v>
      </c>
      <c r="C434" s="2" t="s">
        <v>427</v>
      </c>
      <c r="D434" s="5">
        <v>1175.45</v>
      </c>
      <c r="E434" s="5">
        <v>5.0</v>
      </c>
      <c r="F434" s="6">
        <v>5877.25</v>
      </c>
      <c r="G434" s="2" t="s">
        <v>1368</v>
      </c>
      <c r="H434" s="2" t="s">
        <v>1369</v>
      </c>
      <c r="I434" s="2" t="s">
        <v>1370</v>
      </c>
    </row>
    <row r="435" ht="15.75" customHeight="1">
      <c r="A435" s="1">
        <v>45618.0</v>
      </c>
      <c r="B435" s="2" t="s">
        <v>9</v>
      </c>
      <c r="C435" s="2" t="s">
        <v>427</v>
      </c>
      <c r="D435" s="5">
        <v>1273.61</v>
      </c>
      <c r="E435" s="5">
        <v>4.0</v>
      </c>
      <c r="F435" s="6">
        <v>5094.44</v>
      </c>
      <c r="G435" s="2" t="s">
        <v>1371</v>
      </c>
      <c r="H435" s="2" t="s">
        <v>1372</v>
      </c>
      <c r="I435" s="2" t="s">
        <v>1373</v>
      </c>
    </row>
    <row r="436" ht="15.75" customHeight="1">
      <c r="A436" s="1">
        <v>45618.0</v>
      </c>
      <c r="B436" s="2" t="s">
        <v>74</v>
      </c>
      <c r="C436" s="2" t="s">
        <v>49</v>
      </c>
      <c r="D436" s="5">
        <v>1402.66</v>
      </c>
      <c r="E436" s="5">
        <v>5.0</v>
      </c>
      <c r="F436" s="6">
        <v>7013.3</v>
      </c>
      <c r="G436" s="2" t="s">
        <v>1374</v>
      </c>
      <c r="H436" s="2" t="s">
        <v>1375</v>
      </c>
      <c r="I436" s="2" t="s">
        <v>1376</v>
      </c>
    </row>
    <row r="437" ht="15.75" customHeight="1">
      <c r="A437" s="1">
        <v>45618.0</v>
      </c>
      <c r="B437" s="3" t="s">
        <v>29</v>
      </c>
      <c r="C437" s="2" t="s">
        <v>10</v>
      </c>
      <c r="D437" s="5">
        <v>197.09</v>
      </c>
      <c r="E437" s="5">
        <v>3.0</v>
      </c>
      <c r="F437" s="6">
        <v>591.27</v>
      </c>
      <c r="G437" s="2" t="s">
        <v>1377</v>
      </c>
      <c r="H437" s="2" t="s">
        <v>1378</v>
      </c>
      <c r="I437" s="2" t="s">
        <v>1379</v>
      </c>
    </row>
    <row r="438" ht="15.75" customHeight="1">
      <c r="A438" s="1">
        <v>45618.0</v>
      </c>
      <c r="B438" s="2" t="s">
        <v>34</v>
      </c>
      <c r="C438" s="2" t="s">
        <v>427</v>
      </c>
      <c r="D438" s="5">
        <v>2135.79</v>
      </c>
      <c r="E438" s="5">
        <v>1.0</v>
      </c>
      <c r="F438" s="6">
        <v>2135.79</v>
      </c>
      <c r="G438" s="2" t="s">
        <v>1380</v>
      </c>
      <c r="H438" s="2" t="s">
        <v>1381</v>
      </c>
      <c r="I438" s="2" t="s">
        <v>1382</v>
      </c>
    </row>
    <row r="439" ht="15.75" customHeight="1">
      <c r="A439" s="1">
        <v>45618.0</v>
      </c>
      <c r="B439" s="3" t="s">
        <v>29</v>
      </c>
      <c r="C439" s="2" t="s">
        <v>370</v>
      </c>
      <c r="D439" s="5">
        <v>752.56</v>
      </c>
      <c r="E439" s="5">
        <v>2.0</v>
      </c>
      <c r="F439" s="6">
        <v>1505.12</v>
      </c>
      <c r="G439" s="2" t="s">
        <v>1383</v>
      </c>
      <c r="H439" s="2" t="s">
        <v>1384</v>
      </c>
      <c r="I439" s="2" t="s">
        <v>1385</v>
      </c>
    </row>
    <row r="440" ht="15.75" customHeight="1">
      <c r="A440" s="1">
        <v>45618.0</v>
      </c>
      <c r="B440" s="2" t="s">
        <v>14</v>
      </c>
      <c r="C440" s="2" t="s">
        <v>115</v>
      </c>
      <c r="D440" s="5">
        <v>2198.02</v>
      </c>
      <c r="E440" s="5">
        <v>1.0</v>
      </c>
      <c r="F440" s="6">
        <v>2198.02</v>
      </c>
      <c r="G440" s="2" t="s">
        <v>1386</v>
      </c>
      <c r="H440" s="2" t="s">
        <v>1387</v>
      </c>
      <c r="I440" s="2" t="s">
        <v>1388</v>
      </c>
    </row>
    <row r="441" ht="15.75" customHeight="1">
      <c r="A441" s="1">
        <v>45618.0</v>
      </c>
      <c r="B441" s="2" t="s">
        <v>14</v>
      </c>
      <c r="C441" s="2" t="s">
        <v>151</v>
      </c>
      <c r="D441" s="5">
        <v>342.64</v>
      </c>
      <c r="E441" s="5">
        <v>2.0</v>
      </c>
      <c r="F441" s="6">
        <v>685.28</v>
      </c>
      <c r="G441" s="2" t="s">
        <v>1389</v>
      </c>
      <c r="H441" s="2" t="s">
        <v>1390</v>
      </c>
      <c r="I441" s="2" t="s">
        <v>1391</v>
      </c>
    </row>
    <row r="442" ht="15.75" customHeight="1">
      <c r="A442" s="1">
        <v>45618.0</v>
      </c>
      <c r="B442" s="2" t="s">
        <v>9</v>
      </c>
      <c r="C442" s="2" t="s">
        <v>312</v>
      </c>
      <c r="D442" s="5">
        <v>1249.46</v>
      </c>
      <c r="E442" s="5">
        <v>1.0</v>
      </c>
      <c r="F442" s="6">
        <v>1249.46</v>
      </c>
      <c r="G442" s="2" t="s">
        <v>1392</v>
      </c>
      <c r="H442" s="2" t="s">
        <v>1393</v>
      </c>
      <c r="I442" s="7" t="s">
        <v>1394</v>
      </c>
    </row>
    <row r="443" ht="15.75" customHeight="1">
      <c r="A443" s="1">
        <v>45618.0</v>
      </c>
      <c r="B443" s="2" t="s">
        <v>34</v>
      </c>
      <c r="C443" s="2" t="s">
        <v>15</v>
      </c>
      <c r="D443" s="5">
        <v>463.17</v>
      </c>
      <c r="E443" s="5">
        <v>3.0</v>
      </c>
      <c r="F443" s="6">
        <v>1389.51</v>
      </c>
      <c r="G443" s="2" t="s">
        <v>1395</v>
      </c>
      <c r="H443" s="2" t="s">
        <v>1396</v>
      </c>
      <c r="I443" s="2" t="s">
        <v>1397</v>
      </c>
    </row>
    <row r="444" ht="15.75" customHeight="1">
      <c r="A444" s="1">
        <v>45618.0</v>
      </c>
      <c r="B444" s="2" t="s">
        <v>14</v>
      </c>
      <c r="C444" s="2" t="s">
        <v>10</v>
      </c>
      <c r="D444" s="5">
        <v>776.93</v>
      </c>
      <c r="E444" s="5">
        <v>1.0</v>
      </c>
      <c r="F444" s="6">
        <v>776.93</v>
      </c>
      <c r="G444" s="2" t="s">
        <v>1398</v>
      </c>
      <c r="H444" s="2" t="s">
        <v>1399</v>
      </c>
      <c r="I444" s="2" t="s">
        <v>1400</v>
      </c>
    </row>
    <row r="445" ht="15.75" customHeight="1">
      <c r="A445" s="1">
        <v>45619.0</v>
      </c>
      <c r="B445" s="2" t="s">
        <v>74</v>
      </c>
      <c r="C445" s="2" t="s">
        <v>279</v>
      </c>
      <c r="D445" s="5">
        <v>405.62</v>
      </c>
      <c r="E445" s="5">
        <v>4.0</v>
      </c>
      <c r="F445" s="6">
        <v>1622.48</v>
      </c>
      <c r="G445" s="2" t="s">
        <v>1401</v>
      </c>
      <c r="H445" s="2" t="s">
        <v>1402</v>
      </c>
      <c r="I445" s="2" t="s">
        <v>1403</v>
      </c>
    </row>
    <row r="446" ht="15.75" customHeight="1">
      <c r="A446" s="1">
        <v>45619.0</v>
      </c>
      <c r="B446" s="2" t="s">
        <v>57</v>
      </c>
      <c r="C446" s="2" t="s">
        <v>119</v>
      </c>
      <c r="D446" s="2"/>
      <c r="E446" s="5">
        <v>3.0</v>
      </c>
      <c r="F446" s="6">
        <v>4978.62</v>
      </c>
      <c r="G446" s="2" t="s">
        <v>1404</v>
      </c>
      <c r="H446" s="2" t="s">
        <v>1405</v>
      </c>
      <c r="I446" s="7" t="s">
        <v>1406</v>
      </c>
    </row>
    <row r="447" ht="15.75" customHeight="1">
      <c r="A447" s="1">
        <v>45619.0</v>
      </c>
      <c r="B447" s="3" t="s">
        <v>29</v>
      </c>
      <c r="C447" s="2" t="s">
        <v>92</v>
      </c>
      <c r="D447" s="5">
        <v>1848.95</v>
      </c>
      <c r="E447" s="5">
        <v>3.0</v>
      </c>
      <c r="F447" s="6">
        <v>5546.85</v>
      </c>
      <c r="G447" s="2" t="s">
        <v>1407</v>
      </c>
      <c r="H447" s="2" t="s">
        <v>1408</v>
      </c>
      <c r="I447" s="2" t="s">
        <v>1409</v>
      </c>
    </row>
    <row r="448" ht="15.75" customHeight="1">
      <c r="A448" s="1">
        <v>45619.0</v>
      </c>
      <c r="B448" s="2" t="s">
        <v>57</v>
      </c>
      <c r="C448" s="2" t="s">
        <v>130</v>
      </c>
      <c r="D448" s="5">
        <v>793.75</v>
      </c>
      <c r="E448" s="5">
        <v>1.0</v>
      </c>
      <c r="F448" s="6">
        <v>793.75</v>
      </c>
      <c r="G448" s="2" t="s">
        <v>1410</v>
      </c>
      <c r="H448" s="2" t="s">
        <v>1411</v>
      </c>
      <c r="I448" s="2" t="s">
        <v>1412</v>
      </c>
    </row>
    <row r="449" ht="15.75" customHeight="1">
      <c r="A449" s="1">
        <v>45619.0</v>
      </c>
      <c r="B449" s="2" t="s">
        <v>74</v>
      </c>
      <c r="C449" s="2" t="s">
        <v>161</v>
      </c>
      <c r="D449" s="5">
        <v>919.27</v>
      </c>
      <c r="E449" s="5">
        <v>2.0</v>
      </c>
      <c r="F449" s="6">
        <v>1838.54</v>
      </c>
      <c r="G449" s="2" t="s">
        <v>1413</v>
      </c>
      <c r="H449" s="2" t="s">
        <v>1414</v>
      </c>
      <c r="I449" s="2" t="s">
        <v>1415</v>
      </c>
    </row>
    <row r="450" ht="15.75" customHeight="1">
      <c r="A450" s="1">
        <v>45619.0</v>
      </c>
      <c r="B450" s="2" t="s">
        <v>74</v>
      </c>
      <c r="C450" s="2" t="s">
        <v>83</v>
      </c>
      <c r="D450" s="5">
        <v>807.71</v>
      </c>
      <c r="E450" s="5">
        <v>3.0</v>
      </c>
      <c r="F450" s="6">
        <v>2423.13</v>
      </c>
      <c r="G450" s="2" t="s">
        <v>1416</v>
      </c>
      <c r="H450" s="2" t="s">
        <v>1417</v>
      </c>
      <c r="I450" s="2" t="s">
        <v>1418</v>
      </c>
    </row>
    <row r="451" ht="15.75" customHeight="1">
      <c r="A451" s="1">
        <v>45619.0</v>
      </c>
      <c r="B451" s="2" t="s">
        <v>14</v>
      </c>
      <c r="C451" s="2" t="s">
        <v>151</v>
      </c>
      <c r="D451" s="5">
        <v>1768.49</v>
      </c>
      <c r="E451" s="5">
        <v>2.0</v>
      </c>
      <c r="F451" s="6">
        <v>3536.98</v>
      </c>
      <c r="G451" s="2" t="s">
        <v>1419</v>
      </c>
      <c r="H451" s="2" t="s">
        <v>1420</v>
      </c>
      <c r="I451" s="2" t="s">
        <v>1421</v>
      </c>
    </row>
    <row r="452" ht="15.75" customHeight="1">
      <c r="A452" s="1">
        <v>45619.0</v>
      </c>
      <c r="B452" s="2" t="s">
        <v>34</v>
      </c>
      <c r="C452" s="2" t="s">
        <v>137</v>
      </c>
      <c r="D452" s="5">
        <v>2009.76</v>
      </c>
      <c r="E452" s="5">
        <v>1.0</v>
      </c>
      <c r="F452" s="6">
        <v>2009.76</v>
      </c>
      <c r="G452" s="2" t="s">
        <v>1422</v>
      </c>
      <c r="H452" s="2" t="s">
        <v>1423</v>
      </c>
      <c r="I452" s="2" t="s">
        <v>1424</v>
      </c>
    </row>
    <row r="453" ht="15.75" customHeight="1">
      <c r="A453" s="1">
        <v>45619.0</v>
      </c>
      <c r="B453" s="2" t="s">
        <v>74</v>
      </c>
      <c r="C453" s="2" t="s">
        <v>279</v>
      </c>
      <c r="D453" s="5">
        <v>72.37</v>
      </c>
      <c r="E453" s="5">
        <v>4.0</v>
      </c>
      <c r="F453" s="6">
        <v>289.48</v>
      </c>
      <c r="G453" s="2" t="s">
        <v>1425</v>
      </c>
      <c r="H453" s="2" t="s">
        <v>1426</v>
      </c>
      <c r="I453" s="2" t="s">
        <v>1427</v>
      </c>
    </row>
    <row r="454" ht="15.75" customHeight="1">
      <c r="A454" s="1">
        <v>45620.0</v>
      </c>
      <c r="B454" s="2" t="s">
        <v>14</v>
      </c>
      <c r="C454" s="2" t="s">
        <v>386</v>
      </c>
      <c r="D454" s="5">
        <v>443.81</v>
      </c>
      <c r="E454" s="5">
        <v>1.0</v>
      </c>
      <c r="F454" s="6">
        <v>443.81</v>
      </c>
      <c r="G454" s="2" t="s">
        <v>1428</v>
      </c>
      <c r="H454" s="2" t="s">
        <v>1429</v>
      </c>
      <c r="I454" s="7" t="s">
        <v>1430</v>
      </c>
    </row>
    <row r="455" ht="15.75" customHeight="1">
      <c r="A455" s="1">
        <v>45620.0</v>
      </c>
      <c r="B455" s="2" t="s">
        <v>9</v>
      </c>
      <c r="C455" s="2" t="s">
        <v>226</v>
      </c>
      <c r="D455" s="5">
        <v>1628.77</v>
      </c>
      <c r="E455" s="5">
        <v>4.0</v>
      </c>
      <c r="F455" s="6">
        <v>6515.08</v>
      </c>
      <c r="G455" s="2" t="s">
        <v>1431</v>
      </c>
      <c r="H455" s="2" t="s">
        <v>1432</v>
      </c>
      <c r="I455" s="2" t="s">
        <v>1433</v>
      </c>
    </row>
    <row r="456" ht="15.75" customHeight="1">
      <c r="A456" s="1">
        <v>45620.0</v>
      </c>
      <c r="B456" s="3" t="s">
        <v>29</v>
      </c>
      <c r="C456" s="2" t="s">
        <v>165</v>
      </c>
      <c r="D456" s="5">
        <v>1752.21</v>
      </c>
      <c r="E456" s="5">
        <v>4.0</v>
      </c>
      <c r="F456" s="6">
        <v>7008.84</v>
      </c>
      <c r="G456" s="2" t="s">
        <v>1434</v>
      </c>
      <c r="H456" s="2" t="s">
        <v>1435</v>
      </c>
      <c r="I456" s="2" t="s">
        <v>1436</v>
      </c>
    </row>
    <row r="457" ht="15.75" customHeight="1">
      <c r="A457" s="1">
        <v>45620.0</v>
      </c>
      <c r="B457" s="2" t="s">
        <v>74</v>
      </c>
      <c r="C457" s="2" t="s">
        <v>79</v>
      </c>
      <c r="D457" s="5">
        <v>649.99</v>
      </c>
      <c r="E457" s="5">
        <v>2.0</v>
      </c>
      <c r="F457" s="6">
        <v>1299.98</v>
      </c>
      <c r="G457" s="2" t="s">
        <v>1437</v>
      </c>
      <c r="H457" s="2" t="s">
        <v>1438</v>
      </c>
      <c r="I457" s="2" t="s">
        <v>1439</v>
      </c>
    </row>
    <row r="458" ht="15.75" customHeight="1">
      <c r="A458" s="1">
        <v>45620.0</v>
      </c>
      <c r="B458" s="3" t="s">
        <v>29</v>
      </c>
      <c r="C458" s="2" t="s">
        <v>62</v>
      </c>
      <c r="D458" s="5">
        <v>1768.85</v>
      </c>
      <c r="E458" s="5">
        <v>5.0</v>
      </c>
      <c r="F458" s="6">
        <v>8844.25</v>
      </c>
      <c r="G458" s="2" t="s">
        <v>1440</v>
      </c>
      <c r="H458" s="2" t="s">
        <v>1441</v>
      </c>
      <c r="I458" s="2" t="s">
        <v>1442</v>
      </c>
    </row>
    <row r="459" ht="15.75" customHeight="1">
      <c r="A459" s="1">
        <v>45620.0</v>
      </c>
      <c r="B459" s="2" t="s">
        <v>74</v>
      </c>
      <c r="C459" s="2" t="s">
        <v>215</v>
      </c>
      <c r="D459" s="5">
        <v>103.69</v>
      </c>
      <c r="E459" s="5">
        <v>5.0</v>
      </c>
      <c r="F459" s="6">
        <v>518.45</v>
      </c>
      <c r="G459" s="2" t="s">
        <v>1443</v>
      </c>
      <c r="H459" s="2" t="s">
        <v>1444</v>
      </c>
      <c r="I459" s="2" t="s">
        <v>1445</v>
      </c>
    </row>
    <row r="460" ht="15.75" customHeight="1">
      <c r="A460" s="1">
        <v>45620.0</v>
      </c>
      <c r="B460" s="2" t="s">
        <v>14</v>
      </c>
      <c r="C460" s="2" t="s">
        <v>179</v>
      </c>
      <c r="D460" s="5">
        <v>2028.12</v>
      </c>
      <c r="E460" s="5">
        <v>5.0</v>
      </c>
      <c r="F460" s="6">
        <v>10140.6</v>
      </c>
      <c r="G460" s="2" t="s">
        <v>1446</v>
      </c>
      <c r="H460" s="2" t="s">
        <v>1447</v>
      </c>
      <c r="I460" s="2" t="s">
        <v>1448</v>
      </c>
    </row>
    <row r="461" ht="15.75" customHeight="1">
      <c r="A461" s="1">
        <v>45620.0</v>
      </c>
      <c r="B461" s="2" t="s">
        <v>14</v>
      </c>
      <c r="C461" s="2" t="s">
        <v>179</v>
      </c>
      <c r="D461" s="5">
        <v>428.02</v>
      </c>
      <c r="E461" s="5">
        <v>3.0</v>
      </c>
      <c r="F461" s="6">
        <v>1284.06</v>
      </c>
      <c r="G461" s="2" t="s">
        <v>1449</v>
      </c>
      <c r="H461" s="2" t="s">
        <v>1450</v>
      </c>
      <c r="I461" s="2" t="s">
        <v>1451</v>
      </c>
    </row>
    <row r="462" ht="15.75" customHeight="1">
      <c r="A462" s="1">
        <v>45620.0</v>
      </c>
      <c r="B462" s="2" t="s">
        <v>9</v>
      </c>
      <c r="C462" s="2" t="s">
        <v>427</v>
      </c>
      <c r="D462" s="5">
        <v>1880.14</v>
      </c>
      <c r="E462" s="5">
        <v>1.0</v>
      </c>
      <c r="F462" s="6">
        <v>1880.14</v>
      </c>
      <c r="G462" s="2" t="s">
        <v>1452</v>
      </c>
      <c r="H462" s="2" t="s">
        <v>1453</v>
      </c>
      <c r="I462" s="2" t="s">
        <v>1454</v>
      </c>
    </row>
    <row r="463" ht="15.75" customHeight="1">
      <c r="A463" s="1">
        <v>45621.0</v>
      </c>
      <c r="B463" s="2" t="s">
        <v>34</v>
      </c>
      <c r="C463" s="2" t="s">
        <v>137</v>
      </c>
      <c r="D463" s="5">
        <v>1061.61</v>
      </c>
      <c r="E463" s="5">
        <v>1.0</v>
      </c>
      <c r="F463" s="6">
        <v>1061.61</v>
      </c>
      <c r="G463" s="2" t="s">
        <v>1455</v>
      </c>
      <c r="H463" s="2" t="s">
        <v>1456</v>
      </c>
      <c r="I463" s="2" t="s">
        <v>1457</v>
      </c>
    </row>
    <row r="464" ht="15.75" customHeight="1">
      <c r="A464" s="1">
        <v>45621.0</v>
      </c>
      <c r="B464" s="2" t="s">
        <v>57</v>
      </c>
      <c r="C464" s="2" t="s">
        <v>70</v>
      </c>
      <c r="D464" s="5">
        <v>564.69</v>
      </c>
      <c r="E464" s="5">
        <v>2.0</v>
      </c>
      <c r="F464" s="6">
        <v>1129.38</v>
      </c>
      <c r="G464" s="2" t="s">
        <v>1458</v>
      </c>
      <c r="H464" s="2" t="s">
        <v>1459</v>
      </c>
      <c r="I464" s="2" t="s">
        <v>1460</v>
      </c>
    </row>
    <row r="465" ht="15.75" customHeight="1">
      <c r="A465" s="1">
        <v>45621.0</v>
      </c>
      <c r="B465" s="2" t="s">
        <v>14</v>
      </c>
      <c r="C465" s="2" t="s">
        <v>123</v>
      </c>
      <c r="D465" s="5">
        <v>1847.8</v>
      </c>
      <c r="E465" s="5">
        <v>3.0</v>
      </c>
      <c r="F465" s="6">
        <v>5543.4</v>
      </c>
      <c r="G465" s="2" t="s">
        <v>1461</v>
      </c>
      <c r="H465" s="2" t="s">
        <v>1462</v>
      </c>
      <c r="I465" s="2" t="s">
        <v>1463</v>
      </c>
    </row>
    <row r="466" ht="15.75" customHeight="1">
      <c r="A466" s="1">
        <v>45621.0</v>
      </c>
      <c r="B466" s="2" t="s">
        <v>74</v>
      </c>
      <c r="C466" s="2" t="s">
        <v>137</v>
      </c>
      <c r="D466" s="5">
        <v>2476.21</v>
      </c>
      <c r="E466" s="5">
        <v>5.0</v>
      </c>
      <c r="F466" s="6">
        <v>12381.05</v>
      </c>
      <c r="G466" s="2" t="s">
        <v>1464</v>
      </c>
      <c r="H466" s="2" t="s">
        <v>1465</v>
      </c>
      <c r="I466" s="2" t="s">
        <v>1466</v>
      </c>
    </row>
    <row r="467" ht="15.75" customHeight="1">
      <c r="A467" s="1">
        <v>45621.0</v>
      </c>
      <c r="B467" s="2" t="s">
        <v>9</v>
      </c>
      <c r="C467" s="2" t="s">
        <v>1467</v>
      </c>
      <c r="D467" s="5">
        <v>1155.26</v>
      </c>
      <c r="E467" s="5">
        <v>4.0</v>
      </c>
      <c r="F467" s="6">
        <v>4621.04</v>
      </c>
      <c r="G467" s="2" t="s">
        <v>1468</v>
      </c>
      <c r="H467" s="2" t="s">
        <v>1469</v>
      </c>
      <c r="I467" s="2" t="s">
        <v>1470</v>
      </c>
    </row>
    <row r="468" ht="15.75" customHeight="1">
      <c r="A468" s="1">
        <v>45621.0</v>
      </c>
      <c r="B468" s="3" t="s">
        <v>29</v>
      </c>
      <c r="C468" s="2" t="s">
        <v>35</v>
      </c>
      <c r="D468" s="5">
        <v>1022.39</v>
      </c>
      <c r="E468" s="5">
        <v>2.0</v>
      </c>
      <c r="F468" s="6">
        <v>2044.78</v>
      </c>
      <c r="G468" s="2" t="s">
        <v>1471</v>
      </c>
      <c r="H468" s="2" t="s">
        <v>1472</v>
      </c>
      <c r="I468" s="2" t="s">
        <v>1473</v>
      </c>
    </row>
    <row r="469" ht="15.75" customHeight="1">
      <c r="A469" s="1">
        <v>45621.0</v>
      </c>
      <c r="B469" s="3" t="s">
        <v>29</v>
      </c>
      <c r="C469" s="2" t="s">
        <v>279</v>
      </c>
      <c r="D469" s="5">
        <v>110.53</v>
      </c>
      <c r="E469" s="5">
        <v>5.0</v>
      </c>
      <c r="F469" s="6">
        <v>552.65</v>
      </c>
      <c r="G469" s="2" t="s">
        <v>1474</v>
      </c>
      <c r="H469" s="2" t="s">
        <v>1475</v>
      </c>
      <c r="I469" s="2" t="s">
        <v>1476</v>
      </c>
    </row>
    <row r="470" ht="15.75" customHeight="1">
      <c r="A470" s="1">
        <v>45621.0</v>
      </c>
      <c r="B470" s="2" t="s">
        <v>34</v>
      </c>
      <c r="C470" s="2" t="s">
        <v>123</v>
      </c>
      <c r="D470" s="5">
        <v>1453.6</v>
      </c>
      <c r="E470" s="5">
        <v>4.0</v>
      </c>
      <c r="F470" s="6">
        <v>5814.4</v>
      </c>
      <c r="G470" s="2" t="s">
        <v>1477</v>
      </c>
      <c r="H470" s="2" t="s">
        <v>1478</v>
      </c>
      <c r="I470" s="2" t="s">
        <v>1479</v>
      </c>
    </row>
    <row r="471" ht="15.75" customHeight="1">
      <c r="A471" s="1">
        <v>45621.0</v>
      </c>
      <c r="B471" s="2" t="s">
        <v>34</v>
      </c>
      <c r="C471" s="2" t="s">
        <v>252</v>
      </c>
      <c r="D471" s="5">
        <v>2062.25</v>
      </c>
      <c r="E471" s="5">
        <v>3.0</v>
      </c>
      <c r="F471" s="6">
        <v>6186.75</v>
      </c>
      <c r="G471" s="2" t="s">
        <v>1480</v>
      </c>
      <c r="H471" s="2" t="s">
        <v>1481</v>
      </c>
      <c r="I471" s="2" t="s">
        <v>1482</v>
      </c>
    </row>
    <row r="472" ht="15.75" customHeight="1">
      <c r="A472" s="1">
        <v>45621.0</v>
      </c>
      <c r="B472" s="2" t="s">
        <v>9</v>
      </c>
      <c r="C472" s="2" t="s">
        <v>115</v>
      </c>
      <c r="D472" s="5">
        <v>1083.45</v>
      </c>
      <c r="E472" s="5">
        <v>5.0</v>
      </c>
      <c r="F472" s="6">
        <v>5417.25</v>
      </c>
      <c r="G472" s="2" t="s">
        <v>1483</v>
      </c>
      <c r="H472" s="2" t="s">
        <v>1484</v>
      </c>
      <c r="I472" s="2" t="s">
        <v>1485</v>
      </c>
    </row>
    <row r="473" ht="15.75" customHeight="1">
      <c r="A473" s="1">
        <v>45621.0</v>
      </c>
      <c r="B473" s="2" t="s">
        <v>14</v>
      </c>
      <c r="C473" s="2" t="s">
        <v>179</v>
      </c>
      <c r="D473" s="5">
        <v>2488.53</v>
      </c>
      <c r="E473" s="5">
        <v>1.0</v>
      </c>
      <c r="F473" s="6">
        <v>2488.53</v>
      </c>
      <c r="G473" s="2" t="s">
        <v>1486</v>
      </c>
      <c r="H473" s="2" t="s">
        <v>1487</v>
      </c>
      <c r="I473" s="2" t="s">
        <v>1488</v>
      </c>
    </row>
    <row r="474" ht="15.75" customHeight="1">
      <c r="A474" s="1">
        <v>45621.0</v>
      </c>
      <c r="B474" s="2" t="s">
        <v>74</v>
      </c>
      <c r="C474" s="2" t="s">
        <v>75</v>
      </c>
      <c r="D474" s="5">
        <v>2068.34</v>
      </c>
      <c r="E474" s="5">
        <v>2.0</v>
      </c>
      <c r="F474" s="6">
        <v>4136.68</v>
      </c>
      <c r="G474" s="2" t="s">
        <v>1489</v>
      </c>
      <c r="H474" s="2" t="s">
        <v>1490</v>
      </c>
      <c r="I474" s="2" t="s">
        <v>1491</v>
      </c>
    </row>
    <row r="475" ht="15.75" customHeight="1">
      <c r="A475" s="1">
        <v>45621.0</v>
      </c>
      <c r="B475" s="2" t="s">
        <v>14</v>
      </c>
      <c r="C475" s="2" t="s">
        <v>169</v>
      </c>
      <c r="D475" s="5">
        <v>1390.26</v>
      </c>
      <c r="E475" s="5">
        <v>1.0</v>
      </c>
      <c r="F475" s="6">
        <v>1390.26</v>
      </c>
      <c r="G475" s="2" t="s">
        <v>1492</v>
      </c>
      <c r="H475" s="2" t="s">
        <v>1493</v>
      </c>
      <c r="I475" s="2" t="s">
        <v>1494</v>
      </c>
    </row>
    <row r="476" ht="15.75" customHeight="1">
      <c r="A476" s="1">
        <v>45621.0</v>
      </c>
      <c r="B476" s="3" t="s">
        <v>29</v>
      </c>
      <c r="C476" s="2" t="s">
        <v>252</v>
      </c>
      <c r="D476" s="5">
        <v>1438.41</v>
      </c>
      <c r="E476" s="5">
        <v>4.0</v>
      </c>
      <c r="F476" s="6">
        <v>5753.64</v>
      </c>
      <c r="G476" s="2" t="s">
        <v>1495</v>
      </c>
      <c r="H476" s="2" t="s">
        <v>1496</v>
      </c>
      <c r="I476" s="2" t="s">
        <v>1497</v>
      </c>
    </row>
    <row r="477" ht="15.75" customHeight="1">
      <c r="A477" s="1">
        <v>45622.0</v>
      </c>
      <c r="B477" s="2" t="s">
        <v>9</v>
      </c>
      <c r="C477" s="2" t="s">
        <v>49</v>
      </c>
      <c r="D477" s="5">
        <v>2229.46</v>
      </c>
      <c r="E477" s="5">
        <v>3.0</v>
      </c>
      <c r="F477" s="6">
        <v>6688.38</v>
      </c>
      <c r="G477" s="2" t="s">
        <v>1498</v>
      </c>
      <c r="H477" s="2" t="s">
        <v>1499</v>
      </c>
      <c r="I477" s="2" t="s">
        <v>1500</v>
      </c>
    </row>
    <row r="478" ht="15.75" customHeight="1">
      <c r="A478" s="1">
        <v>45622.0</v>
      </c>
      <c r="B478" s="2" t="s">
        <v>34</v>
      </c>
      <c r="C478" s="2" t="s">
        <v>179</v>
      </c>
      <c r="D478" s="5">
        <v>324.09</v>
      </c>
      <c r="E478" s="5">
        <v>2.0</v>
      </c>
      <c r="F478" s="6">
        <v>648.18</v>
      </c>
      <c r="G478" s="2" t="s">
        <v>1501</v>
      </c>
      <c r="H478" s="2" t="s">
        <v>1502</v>
      </c>
      <c r="I478" s="2" t="s">
        <v>1503</v>
      </c>
    </row>
    <row r="479" ht="15.75" customHeight="1">
      <c r="A479" s="1">
        <v>45622.0</v>
      </c>
      <c r="B479" s="2" t="s">
        <v>74</v>
      </c>
      <c r="C479" s="2" t="s">
        <v>130</v>
      </c>
      <c r="D479" s="5">
        <v>664.21</v>
      </c>
      <c r="E479" s="5">
        <v>1.0</v>
      </c>
      <c r="F479" s="6">
        <v>664.21</v>
      </c>
      <c r="G479" s="2" t="s">
        <v>1504</v>
      </c>
      <c r="H479" s="2" t="s">
        <v>1505</v>
      </c>
      <c r="I479" s="2" t="s">
        <v>1506</v>
      </c>
    </row>
    <row r="480" ht="15.75" customHeight="1">
      <c r="A480" s="1">
        <v>45622.0</v>
      </c>
      <c r="B480" s="3" t="s">
        <v>29</v>
      </c>
      <c r="C480" s="2" t="s">
        <v>386</v>
      </c>
      <c r="D480" s="5">
        <v>412.36</v>
      </c>
      <c r="E480" s="5">
        <v>4.0</v>
      </c>
      <c r="F480" s="6">
        <v>1649.44</v>
      </c>
      <c r="G480" s="2" t="s">
        <v>1507</v>
      </c>
      <c r="H480" s="2" t="s">
        <v>1508</v>
      </c>
      <c r="I480" s="2" t="s">
        <v>1509</v>
      </c>
    </row>
    <row r="481" ht="15.75" customHeight="1">
      <c r="A481" s="1">
        <v>45622.0</v>
      </c>
      <c r="B481" s="2" t="s">
        <v>34</v>
      </c>
      <c r="C481" s="2" t="s">
        <v>187</v>
      </c>
      <c r="D481" s="5">
        <v>1247.08</v>
      </c>
      <c r="E481" s="5">
        <v>1.0</v>
      </c>
      <c r="F481" s="6">
        <v>1247.08</v>
      </c>
      <c r="G481" s="2" t="s">
        <v>1510</v>
      </c>
      <c r="H481" s="2" t="s">
        <v>1511</v>
      </c>
      <c r="I481" s="2" t="s">
        <v>1512</v>
      </c>
    </row>
    <row r="482" ht="15.75" customHeight="1">
      <c r="A482" s="1">
        <v>45622.0</v>
      </c>
      <c r="B482" s="2" t="s">
        <v>14</v>
      </c>
      <c r="C482" s="2" t="s">
        <v>289</v>
      </c>
      <c r="D482" s="5">
        <v>252.24</v>
      </c>
      <c r="E482" s="5">
        <v>5.0</v>
      </c>
      <c r="F482" s="6">
        <v>1261.2</v>
      </c>
      <c r="G482" s="2" t="s">
        <v>1513</v>
      </c>
      <c r="H482" s="2" t="s">
        <v>1514</v>
      </c>
      <c r="I482" s="2" t="s">
        <v>1515</v>
      </c>
    </row>
    <row r="483" ht="15.75" customHeight="1">
      <c r="A483" s="1">
        <v>45622.0</v>
      </c>
      <c r="B483" s="3" t="s">
        <v>29</v>
      </c>
      <c r="C483" s="2" t="s">
        <v>215</v>
      </c>
      <c r="D483" s="5">
        <v>1519.67</v>
      </c>
      <c r="E483" s="5">
        <v>4.0</v>
      </c>
      <c r="F483" s="6">
        <v>6078.68</v>
      </c>
      <c r="G483" s="2" t="s">
        <v>1516</v>
      </c>
      <c r="H483" s="2" t="s">
        <v>1517</v>
      </c>
      <c r="I483" s="2" t="s">
        <v>1518</v>
      </c>
    </row>
    <row r="484" ht="15.75" customHeight="1">
      <c r="A484" s="1">
        <v>45622.0</v>
      </c>
      <c r="B484" s="2" t="s">
        <v>14</v>
      </c>
      <c r="C484" s="2" t="s">
        <v>366</v>
      </c>
      <c r="D484" s="5">
        <v>488.25</v>
      </c>
      <c r="E484" s="5">
        <v>5.0</v>
      </c>
      <c r="F484" s="6">
        <v>2441.25</v>
      </c>
      <c r="G484" s="2" t="s">
        <v>1519</v>
      </c>
      <c r="H484" s="2" t="s">
        <v>1520</v>
      </c>
      <c r="I484" s="2" t="s">
        <v>1521</v>
      </c>
    </row>
    <row r="485" ht="15.75" customHeight="1">
      <c r="A485" s="1">
        <v>45622.0</v>
      </c>
      <c r="B485" s="2" t="s">
        <v>14</v>
      </c>
      <c r="C485" s="2" t="s">
        <v>83</v>
      </c>
      <c r="D485" s="5">
        <v>2210.34</v>
      </c>
      <c r="E485" s="5">
        <v>3.0</v>
      </c>
      <c r="F485" s="6">
        <v>6631.02</v>
      </c>
      <c r="G485" s="2" t="s">
        <v>1522</v>
      </c>
      <c r="H485" s="2" t="s">
        <v>1523</v>
      </c>
      <c r="I485" s="2" t="s">
        <v>1524</v>
      </c>
    </row>
    <row r="486" ht="15.75" customHeight="1">
      <c r="A486" s="1">
        <v>45622.0</v>
      </c>
      <c r="B486" s="3" t="s">
        <v>29</v>
      </c>
      <c r="C486" s="2" t="s">
        <v>53</v>
      </c>
      <c r="D486" s="5">
        <v>1892.73</v>
      </c>
      <c r="E486" s="5">
        <v>5.0</v>
      </c>
      <c r="F486" s="6">
        <v>9463.65</v>
      </c>
      <c r="G486" s="2" t="s">
        <v>1525</v>
      </c>
      <c r="H486" s="2" t="s">
        <v>1526</v>
      </c>
      <c r="I486" s="2" t="s">
        <v>1527</v>
      </c>
    </row>
    <row r="487" ht="15.75" customHeight="1">
      <c r="A487" s="1">
        <v>45623.0</v>
      </c>
      <c r="B487" s="2" t="s">
        <v>9</v>
      </c>
      <c r="C487" s="2" t="s">
        <v>396</v>
      </c>
      <c r="D487" s="5">
        <v>788.6</v>
      </c>
      <c r="E487" s="5">
        <v>4.0</v>
      </c>
      <c r="F487" s="6">
        <v>3154.4</v>
      </c>
      <c r="G487" s="2" t="s">
        <v>1528</v>
      </c>
      <c r="H487" s="2" t="s">
        <v>1529</v>
      </c>
      <c r="I487" s="2" t="s">
        <v>1530</v>
      </c>
    </row>
    <row r="488" ht="15.75" customHeight="1">
      <c r="A488" s="1">
        <v>45623.0</v>
      </c>
      <c r="B488" s="2" t="s">
        <v>34</v>
      </c>
      <c r="C488" s="2" t="s">
        <v>83</v>
      </c>
      <c r="D488" s="5">
        <v>1219.75</v>
      </c>
      <c r="E488" s="5">
        <v>2.0</v>
      </c>
      <c r="F488" s="6">
        <v>2439.5</v>
      </c>
      <c r="G488" s="2" t="s">
        <v>1531</v>
      </c>
      <c r="H488" s="2" t="s">
        <v>1532</v>
      </c>
      <c r="I488" s="2" t="s">
        <v>1533</v>
      </c>
    </row>
    <row r="489" ht="15.75" customHeight="1">
      <c r="A489" s="1">
        <v>45623.0</v>
      </c>
      <c r="B489" s="2" t="s">
        <v>9</v>
      </c>
      <c r="C489" s="2" t="s">
        <v>10</v>
      </c>
      <c r="D489" s="5">
        <v>2014.33</v>
      </c>
      <c r="E489" s="5">
        <v>4.0</v>
      </c>
      <c r="F489" s="6">
        <v>8057.32</v>
      </c>
      <c r="G489" s="2" t="s">
        <v>1534</v>
      </c>
      <c r="H489" s="2" t="s">
        <v>1535</v>
      </c>
      <c r="I489" s="2" t="s">
        <v>1536</v>
      </c>
    </row>
    <row r="490" ht="15.75" customHeight="1">
      <c r="A490" s="1">
        <v>45623.0</v>
      </c>
      <c r="B490" s="3" t="s">
        <v>29</v>
      </c>
      <c r="C490" s="2" t="s">
        <v>39</v>
      </c>
      <c r="D490" s="5">
        <v>1804.11</v>
      </c>
      <c r="E490" s="5">
        <v>4.0</v>
      </c>
      <c r="F490" s="6">
        <v>7216.44</v>
      </c>
      <c r="G490" s="2" t="s">
        <v>1537</v>
      </c>
      <c r="H490" s="2" t="s">
        <v>1538</v>
      </c>
      <c r="I490" s="2" t="s">
        <v>1539</v>
      </c>
    </row>
    <row r="491" ht="15.75" customHeight="1">
      <c r="A491" s="1">
        <v>45623.0</v>
      </c>
      <c r="B491" s="2" t="s">
        <v>14</v>
      </c>
      <c r="C491" s="2" t="s">
        <v>151</v>
      </c>
      <c r="D491" s="5">
        <v>764.41</v>
      </c>
      <c r="E491" s="5">
        <v>3.0</v>
      </c>
      <c r="F491" s="6">
        <v>2293.23</v>
      </c>
      <c r="G491" s="2" t="s">
        <v>1540</v>
      </c>
      <c r="H491" s="2" t="s">
        <v>1541</v>
      </c>
      <c r="I491" s="2" t="s">
        <v>1542</v>
      </c>
    </row>
    <row r="492" ht="15.75" customHeight="1">
      <c r="A492" s="1">
        <v>45623.0</v>
      </c>
      <c r="B492" s="2" t="s">
        <v>9</v>
      </c>
      <c r="C492" s="2" t="s">
        <v>15</v>
      </c>
      <c r="D492" s="5">
        <v>1713.18</v>
      </c>
      <c r="E492" s="5">
        <v>2.0</v>
      </c>
      <c r="F492" s="6">
        <v>3426.36</v>
      </c>
      <c r="G492" s="2" t="s">
        <v>1543</v>
      </c>
      <c r="H492" s="2" t="s">
        <v>1544</v>
      </c>
      <c r="I492" s="2" t="s">
        <v>1545</v>
      </c>
    </row>
    <row r="493" ht="15.75" customHeight="1">
      <c r="A493" s="1">
        <v>45623.0</v>
      </c>
      <c r="B493" s="3" t="s">
        <v>29</v>
      </c>
      <c r="C493" s="2" t="s">
        <v>66</v>
      </c>
      <c r="D493" s="5">
        <v>1160.86</v>
      </c>
      <c r="E493" s="5">
        <v>4.0</v>
      </c>
      <c r="F493" s="6">
        <v>4643.44</v>
      </c>
      <c r="G493" s="2" t="s">
        <v>1546</v>
      </c>
      <c r="H493" s="2" t="s">
        <v>1547</v>
      </c>
      <c r="I493" s="2" t="s">
        <v>1548</v>
      </c>
    </row>
    <row r="494" ht="15.75" customHeight="1">
      <c r="A494" s="1">
        <v>45623.0</v>
      </c>
      <c r="B494" s="2" t="s">
        <v>57</v>
      </c>
      <c r="C494" s="2" t="s">
        <v>183</v>
      </c>
      <c r="D494" s="5">
        <v>2160.65</v>
      </c>
      <c r="E494" s="5">
        <v>3.0</v>
      </c>
      <c r="F494" s="6">
        <v>6481.95</v>
      </c>
      <c r="G494" s="2" t="s">
        <v>1549</v>
      </c>
      <c r="H494" s="2" t="s">
        <v>1550</v>
      </c>
      <c r="I494" s="2" t="s">
        <v>1551</v>
      </c>
    </row>
    <row r="495" ht="15.75" customHeight="1">
      <c r="A495" s="1">
        <v>45624.0</v>
      </c>
      <c r="B495" s="2" t="s">
        <v>87</v>
      </c>
      <c r="C495" s="2" t="s">
        <v>289</v>
      </c>
      <c r="D495" s="5">
        <v>2297.62</v>
      </c>
      <c r="E495" s="5">
        <v>4.0</v>
      </c>
      <c r="F495" s="6">
        <v>9190.48</v>
      </c>
      <c r="G495" s="2" t="s">
        <v>1552</v>
      </c>
      <c r="H495" s="2" t="s">
        <v>1553</v>
      </c>
      <c r="I495" s="2" t="s">
        <v>1554</v>
      </c>
    </row>
    <row r="496" ht="15.75" customHeight="1">
      <c r="A496" s="1">
        <v>45624.0</v>
      </c>
      <c r="B496" s="2" t="s">
        <v>14</v>
      </c>
      <c r="C496" s="2" t="s">
        <v>22</v>
      </c>
      <c r="D496" s="5">
        <v>1795.59</v>
      </c>
      <c r="E496" s="5">
        <v>5.0</v>
      </c>
      <c r="F496" s="6">
        <v>8977.95</v>
      </c>
      <c r="G496" s="2" t="s">
        <v>1555</v>
      </c>
      <c r="H496" s="2" t="s">
        <v>1556</v>
      </c>
      <c r="I496" s="7" t="s">
        <v>1557</v>
      </c>
    </row>
    <row r="497" ht="15.75" customHeight="1">
      <c r="A497" s="1">
        <v>45624.0</v>
      </c>
      <c r="B497" s="3" t="s">
        <v>29</v>
      </c>
      <c r="C497" s="2" t="s">
        <v>256</v>
      </c>
      <c r="D497" s="5">
        <v>2087.73</v>
      </c>
      <c r="E497" s="5">
        <v>1.0</v>
      </c>
      <c r="F497" s="4"/>
      <c r="G497" s="2" t="s">
        <v>1558</v>
      </c>
      <c r="H497" s="2" t="s">
        <v>1559</v>
      </c>
      <c r="I497" s="2" t="s">
        <v>1560</v>
      </c>
    </row>
    <row r="498" ht="15.75" customHeight="1">
      <c r="A498" s="1">
        <v>45624.0</v>
      </c>
      <c r="B498" s="2" t="s">
        <v>9</v>
      </c>
      <c r="C498" s="2" t="s">
        <v>226</v>
      </c>
      <c r="D498" s="5">
        <v>1168.3</v>
      </c>
      <c r="E498" s="5">
        <v>3.0</v>
      </c>
      <c r="F498" s="6">
        <v>3504.9</v>
      </c>
      <c r="G498" s="2" t="s">
        <v>1561</v>
      </c>
      <c r="H498" s="2" t="s">
        <v>1562</v>
      </c>
      <c r="I498" s="2" t="s">
        <v>1563</v>
      </c>
    </row>
    <row r="499" ht="15.75" customHeight="1">
      <c r="A499" s="1">
        <v>45624.0</v>
      </c>
      <c r="B499" s="2" t="s">
        <v>9</v>
      </c>
      <c r="C499" s="2" t="s">
        <v>165</v>
      </c>
      <c r="D499" s="5">
        <v>1654.16</v>
      </c>
      <c r="E499" s="5">
        <v>1.0</v>
      </c>
      <c r="F499" s="6">
        <v>1654.16</v>
      </c>
      <c r="G499" s="2" t="s">
        <v>1564</v>
      </c>
      <c r="H499" s="2" t="s">
        <v>1565</v>
      </c>
      <c r="I499" s="2" t="s">
        <v>1566</v>
      </c>
    </row>
    <row r="500" ht="15.75" customHeight="1">
      <c r="A500" s="1">
        <v>45624.0</v>
      </c>
      <c r="B500" s="2" t="s">
        <v>9</v>
      </c>
      <c r="C500" s="2" t="s">
        <v>22</v>
      </c>
      <c r="D500" s="5">
        <v>563.92</v>
      </c>
      <c r="E500" s="5">
        <v>2.0</v>
      </c>
      <c r="F500" s="6">
        <v>1127.84</v>
      </c>
      <c r="G500" s="2" t="s">
        <v>1567</v>
      </c>
      <c r="H500" s="2" t="s">
        <v>1568</v>
      </c>
      <c r="I500" s="2" t="s">
        <v>1569</v>
      </c>
    </row>
    <row r="501" ht="15.75" customHeight="1">
      <c r="A501" s="1">
        <v>45624.0</v>
      </c>
      <c r="B501" s="2" t="s">
        <v>74</v>
      </c>
      <c r="C501" s="2" t="s">
        <v>130</v>
      </c>
      <c r="D501" s="5">
        <v>684.7</v>
      </c>
      <c r="E501" s="5">
        <v>5.0</v>
      </c>
      <c r="F501" s="6">
        <v>3423.5</v>
      </c>
      <c r="G501" s="2" t="s">
        <v>1570</v>
      </c>
      <c r="H501" s="2" t="s">
        <v>1571</v>
      </c>
      <c r="I501" s="2" t="s">
        <v>1572</v>
      </c>
    </row>
    <row r="502" ht="15.75" customHeight="1">
      <c r="A502" s="1">
        <v>45624.0</v>
      </c>
      <c r="B502" s="2" t="s">
        <v>57</v>
      </c>
      <c r="C502" s="2" t="s">
        <v>58</v>
      </c>
      <c r="D502" s="5">
        <v>1496.64</v>
      </c>
      <c r="E502" s="5">
        <v>2.0</v>
      </c>
      <c r="F502" s="6">
        <v>2993.28</v>
      </c>
      <c r="G502" s="2" t="s">
        <v>1573</v>
      </c>
      <c r="H502" s="2" t="s">
        <v>1574</v>
      </c>
      <c r="I502" s="2" t="s">
        <v>1575</v>
      </c>
    </row>
    <row r="503" ht="15.75" customHeight="1">
      <c r="A503" s="1">
        <v>45625.0</v>
      </c>
      <c r="B503" s="2" t="s">
        <v>57</v>
      </c>
      <c r="C503" s="2" t="s">
        <v>66</v>
      </c>
      <c r="D503" s="5">
        <v>337.5</v>
      </c>
      <c r="E503" s="5">
        <v>5.0</v>
      </c>
      <c r="F503" s="6">
        <v>1687.5</v>
      </c>
      <c r="G503" s="2" t="s">
        <v>1576</v>
      </c>
      <c r="H503" s="2" t="s">
        <v>1577</v>
      </c>
      <c r="I503" s="7" t="s">
        <v>1578</v>
      </c>
    </row>
    <row r="504" ht="15.75" customHeight="1">
      <c r="A504" s="1">
        <v>45625.0</v>
      </c>
      <c r="B504" s="2" t="s">
        <v>57</v>
      </c>
      <c r="C504" s="2" t="s">
        <v>316</v>
      </c>
      <c r="D504" s="5">
        <v>251.95</v>
      </c>
      <c r="E504" s="5">
        <v>5.0</v>
      </c>
      <c r="F504" s="6">
        <v>1259.75</v>
      </c>
      <c r="G504" s="2" t="s">
        <v>1579</v>
      </c>
      <c r="H504" s="2" t="s">
        <v>1580</v>
      </c>
      <c r="I504" s="2" t="s">
        <v>1581</v>
      </c>
    </row>
    <row r="505" ht="15.75" customHeight="1">
      <c r="A505" s="1">
        <v>45625.0</v>
      </c>
      <c r="B505" s="3" t="s">
        <v>29</v>
      </c>
      <c r="C505" s="2" t="s">
        <v>137</v>
      </c>
      <c r="D505" s="5">
        <v>568.57</v>
      </c>
      <c r="E505" s="5">
        <v>3.0</v>
      </c>
      <c r="F505" s="6">
        <v>1705.71</v>
      </c>
      <c r="G505" s="2" t="s">
        <v>1582</v>
      </c>
      <c r="H505" s="2" t="s">
        <v>1583</v>
      </c>
      <c r="I505" s="2" t="s">
        <v>1584</v>
      </c>
    </row>
    <row r="506" ht="15.75" customHeight="1">
      <c r="A506" s="1">
        <v>45625.0</v>
      </c>
      <c r="B506" s="2" t="s">
        <v>9</v>
      </c>
      <c r="C506" s="2" t="s">
        <v>1585</v>
      </c>
      <c r="D506" s="5">
        <v>1491.36</v>
      </c>
      <c r="E506" s="5">
        <v>2.0</v>
      </c>
      <c r="F506" s="6">
        <v>2982.72</v>
      </c>
      <c r="G506" s="2" t="s">
        <v>1586</v>
      </c>
      <c r="H506" s="2" t="s">
        <v>1587</v>
      </c>
      <c r="I506" s="2" t="s">
        <v>1588</v>
      </c>
    </row>
    <row r="507" ht="15.75" customHeight="1">
      <c r="A507" s="1">
        <v>45625.0</v>
      </c>
      <c r="B507" s="2" t="s">
        <v>74</v>
      </c>
      <c r="C507" s="2" t="s">
        <v>62</v>
      </c>
      <c r="D507" s="5">
        <v>1083.91</v>
      </c>
      <c r="E507" s="5">
        <v>3.0</v>
      </c>
      <c r="F507" s="6">
        <v>3251.73</v>
      </c>
      <c r="G507" s="2" t="s">
        <v>1589</v>
      </c>
      <c r="H507" s="2" t="s">
        <v>1590</v>
      </c>
      <c r="I507" s="2" t="s">
        <v>1591</v>
      </c>
    </row>
    <row r="508" ht="15.75" customHeight="1">
      <c r="A508" s="1">
        <v>45625.0</v>
      </c>
      <c r="B508" s="2" t="s">
        <v>9</v>
      </c>
      <c r="C508" s="2" t="s">
        <v>10</v>
      </c>
      <c r="D508" s="5">
        <v>2254.91</v>
      </c>
      <c r="E508" s="5">
        <v>4.0</v>
      </c>
      <c r="F508" s="6">
        <v>9019.64</v>
      </c>
      <c r="G508" s="2" t="s">
        <v>1592</v>
      </c>
      <c r="H508" s="2" t="s">
        <v>1593</v>
      </c>
      <c r="I508" s="2" t="s">
        <v>1594</v>
      </c>
    </row>
    <row r="509" ht="15.75" customHeight="1">
      <c r="A509" s="1">
        <v>45625.0</v>
      </c>
      <c r="B509" s="3" t="s">
        <v>29</v>
      </c>
      <c r="C509" s="2" t="s">
        <v>161</v>
      </c>
      <c r="D509" s="5">
        <v>1615.43</v>
      </c>
      <c r="E509" s="5">
        <v>5.0</v>
      </c>
      <c r="F509" s="6">
        <v>8077.15</v>
      </c>
      <c r="G509" s="2" t="s">
        <v>1595</v>
      </c>
      <c r="H509" s="2" t="s">
        <v>1596</v>
      </c>
      <c r="I509" s="2" t="s">
        <v>1597</v>
      </c>
    </row>
    <row r="510" ht="15.75" customHeight="1">
      <c r="A510" s="1">
        <v>45625.0</v>
      </c>
      <c r="B510" s="2" t="s">
        <v>74</v>
      </c>
      <c r="C510" s="2" t="s">
        <v>252</v>
      </c>
      <c r="D510" s="5">
        <v>411.02</v>
      </c>
      <c r="E510" s="5">
        <v>1.0</v>
      </c>
      <c r="F510" s="6">
        <v>411.02</v>
      </c>
      <c r="G510" s="2" t="s">
        <v>1598</v>
      </c>
      <c r="H510" s="2" t="s">
        <v>1599</v>
      </c>
      <c r="I510" s="2" t="s">
        <v>1600</v>
      </c>
    </row>
    <row r="511" ht="15.75" customHeight="1">
      <c r="A511" s="1">
        <v>45626.0</v>
      </c>
      <c r="B511" s="2" t="s">
        <v>57</v>
      </c>
      <c r="C511" s="2" t="s">
        <v>316</v>
      </c>
      <c r="D511" s="5">
        <v>1109.64</v>
      </c>
      <c r="E511" s="5">
        <v>3.0</v>
      </c>
      <c r="F511" s="4"/>
      <c r="G511" s="2" t="s">
        <v>1601</v>
      </c>
      <c r="H511" s="2" t="s">
        <v>1602</v>
      </c>
      <c r="I511" s="2" t="s">
        <v>1603</v>
      </c>
    </row>
    <row r="512" ht="15.75" customHeight="1">
      <c r="A512" s="1">
        <v>45626.0</v>
      </c>
      <c r="B512" s="2" t="s">
        <v>34</v>
      </c>
      <c r="C512" s="2" t="s">
        <v>79</v>
      </c>
      <c r="D512" s="5">
        <v>2256.04</v>
      </c>
      <c r="E512" s="5">
        <v>5.0</v>
      </c>
      <c r="F512" s="6">
        <v>11280.2</v>
      </c>
      <c r="G512" s="2" t="s">
        <v>1604</v>
      </c>
      <c r="H512" s="2" t="s">
        <v>1605</v>
      </c>
      <c r="I512" s="2" t="s">
        <v>1606</v>
      </c>
    </row>
    <row r="513" ht="15.75" customHeight="1">
      <c r="A513" s="1">
        <v>45626.0</v>
      </c>
      <c r="B513" s="3" t="s">
        <v>29</v>
      </c>
      <c r="C513" s="2" t="s">
        <v>88</v>
      </c>
      <c r="D513" s="5">
        <v>616.36</v>
      </c>
      <c r="E513" s="5">
        <v>4.0</v>
      </c>
      <c r="F513" s="6">
        <v>2465.44</v>
      </c>
      <c r="G513" s="2" t="s">
        <v>1607</v>
      </c>
      <c r="H513" s="2" t="s">
        <v>1608</v>
      </c>
      <c r="I513" s="2" t="s">
        <v>1609</v>
      </c>
    </row>
    <row r="514" ht="15.75" customHeight="1">
      <c r="A514" s="1">
        <v>45626.0</v>
      </c>
      <c r="B514" s="2" t="s">
        <v>9</v>
      </c>
      <c r="C514" s="2" t="s">
        <v>66</v>
      </c>
      <c r="D514" s="5">
        <v>206.29</v>
      </c>
      <c r="E514" s="5">
        <v>4.0</v>
      </c>
      <c r="F514" s="6">
        <v>825.16</v>
      </c>
      <c r="G514" s="2" t="s">
        <v>1610</v>
      </c>
      <c r="H514" s="2" t="s">
        <v>1611</v>
      </c>
      <c r="I514" s="2" t="s">
        <v>1612</v>
      </c>
    </row>
    <row r="515" ht="15.75" customHeight="1">
      <c r="A515" s="1">
        <v>45626.0</v>
      </c>
      <c r="B515" s="2" t="s">
        <v>34</v>
      </c>
      <c r="C515" s="2" t="s">
        <v>39</v>
      </c>
      <c r="D515" s="5">
        <v>890.66</v>
      </c>
      <c r="E515" s="5">
        <v>1.0</v>
      </c>
      <c r="F515" s="6">
        <v>890.66</v>
      </c>
      <c r="G515" s="2" t="s">
        <v>1613</v>
      </c>
      <c r="H515" s="2" t="s">
        <v>1614</v>
      </c>
      <c r="I515" s="2" t="s">
        <v>1615</v>
      </c>
    </row>
    <row r="516" ht="15.75" customHeight="1">
      <c r="A516" s="1">
        <v>45626.0</v>
      </c>
      <c r="B516" s="2" t="s">
        <v>74</v>
      </c>
      <c r="C516" s="2" t="s">
        <v>341</v>
      </c>
      <c r="D516" s="5">
        <v>1208.42</v>
      </c>
      <c r="E516" s="5">
        <v>3.0</v>
      </c>
      <c r="F516" s="6">
        <v>3625.26</v>
      </c>
      <c r="G516" s="2" t="s">
        <v>1616</v>
      </c>
      <c r="H516" s="2" t="s">
        <v>1617</v>
      </c>
      <c r="I516" s="2" t="s">
        <v>1618</v>
      </c>
    </row>
    <row r="517" ht="15.75" customHeight="1">
      <c r="A517" s="1">
        <v>45626.0</v>
      </c>
      <c r="B517" s="2" t="s">
        <v>9</v>
      </c>
      <c r="C517" s="2" t="s">
        <v>1619</v>
      </c>
      <c r="D517" s="5">
        <v>2148.99</v>
      </c>
      <c r="E517" s="5">
        <v>5.0</v>
      </c>
      <c r="F517" s="6">
        <v>10744.95</v>
      </c>
      <c r="G517" s="2" t="s">
        <v>1620</v>
      </c>
      <c r="H517" s="2" t="s">
        <v>1621</v>
      </c>
      <c r="I517" s="2" t="s">
        <v>1622</v>
      </c>
    </row>
    <row r="518" ht="15.75" customHeight="1">
      <c r="A518" s="1">
        <v>45626.0</v>
      </c>
      <c r="B518" s="2" t="s">
        <v>34</v>
      </c>
      <c r="C518" s="2" t="s">
        <v>226</v>
      </c>
      <c r="D518" s="5">
        <v>1560.05</v>
      </c>
      <c r="E518" s="5">
        <v>1.0</v>
      </c>
      <c r="F518" s="6">
        <v>1560.05</v>
      </c>
      <c r="G518" s="2" t="s">
        <v>1623</v>
      </c>
      <c r="H518" s="2" t="s">
        <v>1624</v>
      </c>
      <c r="I518" s="2" t="s">
        <v>1625</v>
      </c>
    </row>
    <row r="519" ht="15.75" customHeight="1">
      <c r="A519" s="1">
        <v>45627.0</v>
      </c>
      <c r="B519" s="2" t="s">
        <v>1626</v>
      </c>
      <c r="C519" s="2" t="s">
        <v>179</v>
      </c>
      <c r="D519" s="5">
        <v>1114.1</v>
      </c>
      <c r="E519" s="5">
        <v>3.0</v>
      </c>
      <c r="F519" s="6">
        <v>3342.3</v>
      </c>
      <c r="G519" s="2" t="s">
        <v>1627</v>
      </c>
      <c r="H519" s="2" t="s">
        <v>1628</v>
      </c>
      <c r="I519" s="2" t="s">
        <v>1629</v>
      </c>
    </row>
    <row r="520" ht="15.75" customHeight="1">
      <c r="A520" s="1">
        <v>45627.0</v>
      </c>
      <c r="B520" s="3" t="s">
        <v>29</v>
      </c>
      <c r="C520" s="2" t="s">
        <v>10</v>
      </c>
      <c r="D520" s="5">
        <v>2261.15</v>
      </c>
      <c r="E520" s="5">
        <v>1.0</v>
      </c>
      <c r="F520" s="6">
        <v>2261.15</v>
      </c>
      <c r="G520" s="2" t="s">
        <v>1630</v>
      </c>
      <c r="H520" s="2" t="s">
        <v>1631</v>
      </c>
      <c r="I520" s="2" t="s">
        <v>1632</v>
      </c>
    </row>
    <row r="521" ht="15.75" customHeight="1">
      <c r="A521" s="1">
        <v>45627.0</v>
      </c>
      <c r="B521" s="3" t="s">
        <v>29</v>
      </c>
      <c r="C521" s="2" t="s">
        <v>226</v>
      </c>
      <c r="D521" s="5">
        <v>157.89</v>
      </c>
      <c r="E521" s="5">
        <v>1.0</v>
      </c>
      <c r="F521" s="6">
        <v>157.89</v>
      </c>
      <c r="G521" s="2" t="s">
        <v>1633</v>
      </c>
      <c r="H521" s="2" t="s">
        <v>1634</v>
      </c>
      <c r="I521" s="2" t="s">
        <v>1635</v>
      </c>
    </row>
    <row r="522" ht="15.75" customHeight="1">
      <c r="A522" s="1">
        <v>45627.0</v>
      </c>
      <c r="B522" s="2" t="s">
        <v>14</v>
      </c>
      <c r="C522" s="2" t="s">
        <v>183</v>
      </c>
      <c r="D522" s="5">
        <v>2060.35</v>
      </c>
      <c r="E522" s="5">
        <v>3.0</v>
      </c>
      <c r="F522" s="6">
        <v>6181.05</v>
      </c>
      <c r="G522" s="2" t="s">
        <v>1636</v>
      </c>
      <c r="H522" s="2" t="s">
        <v>1637</v>
      </c>
      <c r="I522" s="2" t="s">
        <v>1638</v>
      </c>
    </row>
    <row r="523" ht="15.75" customHeight="1">
      <c r="A523" s="1">
        <v>45628.0</v>
      </c>
      <c r="B523" s="2" t="s">
        <v>114</v>
      </c>
      <c r="C523" s="2" t="s">
        <v>230</v>
      </c>
      <c r="D523" s="5">
        <v>218.94</v>
      </c>
      <c r="E523" s="5">
        <v>3.0</v>
      </c>
      <c r="F523" s="6">
        <v>656.82</v>
      </c>
      <c r="G523" s="2" t="s">
        <v>1639</v>
      </c>
      <c r="H523" s="2" t="s">
        <v>1640</v>
      </c>
      <c r="I523" s="2" t="s">
        <v>1641</v>
      </c>
    </row>
    <row r="524" ht="15.75" customHeight="1">
      <c r="A524" s="1">
        <v>45628.0</v>
      </c>
      <c r="B524" s="2" t="s">
        <v>14</v>
      </c>
      <c r="C524" s="2" t="s">
        <v>169</v>
      </c>
      <c r="D524" s="5">
        <v>78.53</v>
      </c>
      <c r="E524" s="5">
        <v>2.0</v>
      </c>
      <c r="F524" s="6">
        <v>157.06</v>
      </c>
      <c r="G524" s="2" t="s">
        <v>1642</v>
      </c>
      <c r="H524" s="2" t="s">
        <v>1643</v>
      </c>
      <c r="I524" s="2" t="s">
        <v>1644</v>
      </c>
    </row>
    <row r="525" ht="15.75" customHeight="1">
      <c r="A525" s="1">
        <v>45629.0</v>
      </c>
      <c r="B525" s="2" t="s">
        <v>34</v>
      </c>
      <c r="C525" s="2" t="s">
        <v>88</v>
      </c>
      <c r="D525" s="5">
        <v>2294.28</v>
      </c>
      <c r="E525" s="5">
        <v>1.0</v>
      </c>
      <c r="F525" s="6">
        <v>2294.28</v>
      </c>
      <c r="G525" s="2" t="s">
        <v>1645</v>
      </c>
      <c r="H525" s="2" t="s">
        <v>1646</v>
      </c>
      <c r="I525" s="2" t="s">
        <v>1647</v>
      </c>
    </row>
    <row r="526" ht="15.75" customHeight="1">
      <c r="A526" s="1">
        <v>45629.0</v>
      </c>
      <c r="B526" s="2" t="s">
        <v>114</v>
      </c>
      <c r="C526" s="2" t="s">
        <v>215</v>
      </c>
      <c r="D526" s="5">
        <v>90.89</v>
      </c>
      <c r="E526" s="5">
        <v>1.0</v>
      </c>
      <c r="F526" s="6">
        <v>90.89</v>
      </c>
      <c r="G526" s="2" t="s">
        <v>1648</v>
      </c>
      <c r="H526" s="2" t="s">
        <v>1649</v>
      </c>
      <c r="I526" s="2" t="s">
        <v>1650</v>
      </c>
    </row>
    <row r="527" ht="15.75" customHeight="1">
      <c r="A527" s="1">
        <v>45629.0</v>
      </c>
      <c r="B527" s="3" t="s">
        <v>29</v>
      </c>
      <c r="C527" s="2" t="s">
        <v>39</v>
      </c>
      <c r="D527" s="5">
        <v>1464.04</v>
      </c>
      <c r="E527" s="5">
        <v>4.0</v>
      </c>
      <c r="F527" s="6">
        <v>5856.16</v>
      </c>
      <c r="G527" s="2" t="s">
        <v>1651</v>
      </c>
      <c r="H527" s="2" t="s">
        <v>1652</v>
      </c>
      <c r="I527" s="2" t="s">
        <v>1653</v>
      </c>
    </row>
    <row r="528" ht="15.75" customHeight="1">
      <c r="A528" s="1">
        <v>45629.0</v>
      </c>
      <c r="B528" s="2" t="s">
        <v>74</v>
      </c>
      <c r="C528" s="2" t="s">
        <v>341</v>
      </c>
      <c r="D528" s="5">
        <v>690.26</v>
      </c>
      <c r="E528" s="5">
        <v>4.0</v>
      </c>
      <c r="F528" s="6">
        <v>2761.04</v>
      </c>
      <c r="G528" s="2" t="s">
        <v>1654</v>
      </c>
      <c r="H528" s="2" t="s">
        <v>1655</v>
      </c>
      <c r="I528" s="2" t="s">
        <v>1656</v>
      </c>
    </row>
    <row r="529" ht="15.75" customHeight="1">
      <c r="A529" s="1">
        <v>45630.0</v>
      </c>
      <c r="B529" s="2" t="s">
        <v>74</v>
      </c>
      <c r="C529" s="2" t="s">
        <v>279</v>
      </c>
      <c r="D529" s="5">
        <v>1902.94</v>
      </c>
      <c r="E529" s="5">
        <v>4.0</v>
      </c>
      <c r="F529" s="6">
        <v>7611.76</v>
      </c>
      <c r="G529" s="2" t="s">
        <v>1657</v>
      </c>
      <c r="H529" s="2" t="s">
        <v>1658</v>
      </c>
      <c r="I529" s="2" t="s">
        <v>1659</v>
      </c>
    </row>
    <row r="530" ht="15.75" customHeight="1">
      <c r="A530" s="1">
        <v>45630.0</v>
      </c>
      <c r="B530" s="2" t="s">
        <v>57</v>
      </c>
      <c r="C530" s="2" t="s">
        <v>366</v>
      </c>
      <c r="D530" s="5">
        <v>2281.58</v>
      </c>
      <c r="E530" s="5">
        <v>1.0</v>
      </c>
      <c r="F530" s="6">
        <v>2281.58</v>
      </c>
      <c r="G530" s="2" t="s">
        <v>1660</v>
      </c>
      <c r="H530" s="2" t="s">
        <v>1661</v>
      </c>
      <c r="I530" s="2" t="s">
        <v>1662</v>
      </c>
    </row>
    <row r="531" ht="15.75" customHeight="1">
      <c r="A531" s="1">
        <v>45630.0</v>
      </c>
      <c r="B531" s="2" t="s">
        <v>34</v>
      </c>
      <c r="C531" s="2" t="s">
        <v>165</v>
      </c>
      <c r="D531" s="5">
        <v>1019.3</v>
      </c>
      <c r="E531" s="5">
        <v>4.0</v>
      </c>
      <c r="F531" s="6">
        <v>4077.2</v>
      </c>
      <c r="G531" s="2" t="s">
        <v>1663</v>
      </c>
      <c r="H531" s="2" t="s">
        <v>1664</v>
      </c>
      <c r="I531" s="2" t="s">
        <v>1665</v>
      </c>
    </row>
    <row r="532" ht="15.75" customHeight="1">
      <c r="A532" s="1">
        <v>45630.0</v>
      </c>
      <c r="B532" s="2" t="s">
        <v>87</v>
      </c>
      <c r="C532" s="2" t="s">
        <v>289</v>
      </c>
      <c r="D532" s="5">
        <v>1113.91</v>
      </c>
      <c r="E532" s="5">
        <v>2.0</v>
      </c>
      <c r="F532" s="6">
        <v>2227.82</v>
      </c>
      <c r="G532" s="2" t="s">
        <v>1666</v>
      </c>
      <c r="H532" s="2" t="s">
        <v>1667</v>
      </c>
      <c r="I532" s="7" t="s">
        <v>1668</v>
      </c>
    </row>
    <row r="533" ht="15.75" customHeight="1">
      <c r="A533" s="1">
        <v>45631.0</v>
      </c>
      <c r="B533" s="2" t="s">
        <v>57</v>
      </c>
      <c r="C533" s="2" t="s">
        <v>75</v>
      </c>
      <c r="D533" s="5">
        <v>2246.48</v>
      </c>
      <c r="E533" s="5">
        <v>1.0</v>
      </c>
      <c r="F533" s="6">
        <v>2246.48</v>
      </c>
      <c r="G533" s="2" t="s">
        <v>1669</v>
      </c>
      <c r="H533" s="2" t="s">
        <v>1670</v>
      </c>
      <c r="I533" s="2" t="s">
        <v>1671</v>
      </c>
    </row>
    <row r="534" ht="15.75" customHeight="1">
      <c r="A534" s="1">
        <v>45631.0</v>
      </c>
      <c r="B534" s="3" t="s">
        <v>29</v>
      </c>
      <c r="C534" s="2" t="s">
        <v>179</v>
      </c>
      <c r="D534" s="5">
        <v>496.1</v>
      </c>
      <c r="E534" s="5">
        <v>3.0</v>
      </c>
      <c r="F534" s="6">
        <v>1488.3</v>
      </c>
      <c r="G534" s="2" t="s">
        <v>1672</v>
      </c>
      <c r="H534" s="2" t="s">
        <v>1673</v>
      </c>
      <c r="I534" s="2" t="s">
        <v>1674</v>
      </c>
    </row>
    <row r="535" ht="15.75" customHeight="1">
      <c r="A535" s="1">
        <v>45631.0</v>
      </c>
      <c r="B535" s="2" t="s">
        <v>9</v>
      </c>
      <c r="C535" s="2" t="s">
        <v>230</v>
      </c>
      <c r="D535" s="5">
        <v>1005.46</v>
      </c>
      <c r="E535" s="5">
        <v>5.0</v>
      </c>
      <c r="F535" s="6">
        <v>5027.3</v>
      </c>
      <c r="G535" s="2" t="s">
        <v>1675</v>
      </c>
      <c r="H535" s="2" t="s">
        <v>1676</v>
      </c>
      <c r="I535" s="2" t="s">
        <v>1677</v>
      </c>
    </row>
    <row r="536" ht="15.75" customHeight="1">
      <c r="A536" s="1">
        <v>45631.0</v>
      </c>
      <c r="B536" s="2" t="s">
        <v>57</v>
      </c>
      <c r="C536" s="2" t="s">
        <v>386</v>
      </c>
      <c r="D536" s="5">
        <v>379.11</v>
      </c>
      <c r="E536" s="5">
        <v>1.0</v>
      </c>
      <c r="F536" s="6">
        <v>379.11</v>
      </c>
      <c r="G536" s="2" t="s">
        <v>1678</v>
      </c>
      <c r="H536" s="2" t="s">
        <v>1679</v>
      </c>
      <c r="I536" s="2" t="s">
        <v>1680</v>
      </c>
    </row>
    <row r="537" ht="15.75" customHeight="1">
      <c r="A537" s="1">
        <v>45631.0</v>
      </c>
      <c r="B537" s="2" t="s">
        <v>74</v>
      </c>
      <c r="C537" s="2" t="s">
        <v>279</v>
      </c>
      <c r="D537" s="5">
        <v>1742.12</v>
      </c>
      <c r="E537" s="5">
        <v>4.0</v>
      </c>
      <c r="F537" s="6">
        <v>6968.48</v>
      </c>
      <c r="G537" s="2" t="s">
        <v>1681</v>
      </c>
      <c r="H537" s="2" t="s">
        <v>1682</v>
      </c>
      <c r="I537" s="2" t="s">
        <v>1683</v>
      </c>
    </row>
    <row r="538" ht="15.75" customHeight="1">
      <c r="A538" s="1">
        <v>45632.0</v>
      </c>
      <c r="B538" s="2" t="s">
        <v>34</v>
      </c>
      <c r="C538" s="2" t="s">
        <v>312</v>
      </c>
      <c r="D538" s="5">
        <v>1143.24</v>
      </c>
      <c r="E538" s="5">
        <v>2.0</v>
      </c>
      <c r="F538" s="6">
        <v>2286.48</v>
      </c>
      <c r="G538" s="2" t="s">
        <v>1684</v>
      </c>
      <c r="H538" s="2" t="s">
        <v>1685</v>
      </c>
      <c r="I538" s="2" t="s">
        <v>1686</v>
      </c>
    </row>
    <row r="539" ht="15.75" customHeight="1">
      <c r="A539" s="1">
        <v>45632.0</v>
      </c>
      <c r="B539" s="2" t="s">
        <v>9</v>
      </c>
      <c r="C539" s="2" t="s">
        <v>308</v>
      </c>
      <c r="D539" s="2"/>
      <c r="E539" s="5">
        <v>1.0</v>
      </c>
      <c r="F539" s="6">
        <v>1955.27</v>
      </c>
      <c r="G539" s="2" t="s">
        <v>1687</v>
      </c>
      <c r="H539" s="2" t="s">
        <v>1688</v>
      </c>
      <c r="I539" s="2" t="s">
        <v>1689</v>
      </c>
    </row>
    <row r="540" ht="15.75" customHeight="1">
      <c r="A540" s="1">
        <v>45632.0</v>
      </c>
      <c r="B540" s="2" t="s">
        <v>14</v>
      </c>
      <c r="C540" s="2" t="s">
        <v>366</v>
      </c>
      <c r="D540" s="5">
        <v>1440.56</v>
      </c>
      <c r="E540" s="5">
        <v>1.0</v>
      </c>
      <c r="F540" s="6">
        <v>1440.56</v>
      </c>
      <c r="G540" s="2" t="s">
        <v>1690</v>
      </c>
      <c r="H540" s="2" t="s">
        <v>1691</v>
      </c>
      <c r="I540" s="2" t="s">
        <v>1692</v>
      </c>
    </row>
    <row r="541" ht="15.75" customHeight="1">
      <c r="A541" s="1">
        <v>45633.0</v>
      </c>
      <c r="B541" s="2" t="s">
        <v>9</v>
      </c>
      <c r="C541" s="2" t="s">
        <v>396</v>
      </c>
      <c r="D541" s="5">
        <v>1636.89</v>
      </c>
      <c r="E541" s="5">
        <v>2.0</v>
      </c>
      <c r="F541" s="6">
        <v>3273.78</v>
      </c>
      <c r="G541" s="2" t="s">
        <v>1693</v>
      </c>
      <c r="H541" s="2" t="s">
        <v>1694</v>
      </c>
      <c r="I541" s="2" t="s">
        <v>1695</v>
      </c>
    </row>
    <row r="542" ht="15.75" customHeight="1">
      <c r="A542" s="1">
        <v>45633.0</v>
      </c>
      <c r="B542" s="2" t="s">
        <v>74</v>
      </c>
      <c r="C542" s="2" t="s">
        <v>161</v>
      </c>
      <c r="D542" s="5">
        <v>979.2</v>
      </c>
      <c r="E542" s="5">
        <v>5.0</v>
      </c>
      <c r="F542" s="6">
        <v>4896.0</v>
      </c>
      <c r="G542" s="2" t="s">
        <v>1696</v>
      </c>
      <c r="H542" s="2" t="s">
        <v>1697</v>
      </c>
      <c r="I542" s="2" t="s">
        <v>1698</v>
      </c>
    </row>
    <row r="543" ht="15.75" customHeight="1">
      <c r="A543" s="1">
        <v>45633.0</v>
      </c>
      <c r="B543" s="3" t="s">
        <v>29</v>
      </c>
      <c r="C543" s="2" t="s">
        <v>316</v>
      </c>
      <c r="D543" s="5">
        <v>1566.88</v>
      </c>
      <c r="E543" s="5">
        <v>3.0</v>
      </c>
      <c r="F543" s="6">
        <v>4700.64</v>
      </c>
      <c r="G543" s="2" t="s">
        <v>1699</v>
      </c>
      <c r="H543" s="2" t="s">
        <v>1700</v>
      </c>
      <c r="I543" s="2" t="s">
        <v>1701</v>
      </c>
    </row>
    <row r="544" ht="15.75" customHeight="1">
      <c r="A544" s="1">
        <v>45634.0</v>
      </c>
      <c r="B544" s="2" t="s">
        <v>9</v>
      </c>
      <c r="C544" s="2" t="s">
        <v>279</v>
      </c>
      <c r="D544" s="5">
        <v>1397.7</v>
      </c>
      <c r="E544" s="5">
        <v>3.0</v>
      </c>
      <c r="F544" s="6">
        <v>4193.1</v>
      </c>
      <c r="G544" s="2" t="s">
        <v>1702</v>
      </c>
      <c r="H544" s="2" t="s">
        <v>1703</v>
      </c>
      <c r="I544" s="2" t="s">
        <v>1704</v>
      </c>
    </row>
    <row r="545" ht="15.75" customHeight="1">
      <c r="A545" s="1">
        <v>45634.0</v>
      </c>
      <c r="B545" s="2" t="s">
        <v>9</v>
      </c>
      <c r="C545" s="2" t="s">
        <v>10</v>
      </c>
      <c r="D545" s="5">
        <v>155.7</v>
      </c>
      <c r="E545" s="5">
        <v>5.0</v>
      </c>
      <c r="F545" s="6">
        <v>778.5</v>
      </c>
      <c r="G545" s="2" t="s">
        <v>1705</v>
      </c>
      <c r="H545" s="2" t="s">
        <v>1706</v>
      </c>
      <c r="I545" s="2" t="s">
        <v>1707</v>
      </c>
    </row>
    <row r="546" ht="15.75" customHeight="1">
      <c r="A546" s="1">
        <v>45635.0</v>
      </c>
      <c r="B546" s="3" t="s">
        <v>29</v>
      </c>
      <c r="C546" s="2" t="s">
        <v>370</v>
      </c>
      <c r="D546" s="5">
        <v>166.45</v>
      </c>
      <c r="E546" s="5">
        <v>5.0</v>
      </c>
      <c r="F546" s="6">
        <v>832.25</v>
      </c>
      <c r="G546" s="2" t="s">
        <v>1708</v>
      </c>
      <c r="H546" s="2" t="s">
        <v>1709</v>
      </c>
      <c r="I546" s="2" t="s">
        <v>1710</v>
      </c>
    </row>
    <row r="547" ht="15.75" customHeight="1">
      <c r="A547" s="1">
        <v>45635.0</v>
      </c>
      <c r="B547" s="2" t="s">
        <v>34</v>
      </c>
      <c r="C547" s="2" t="s">
        <v>92</v>
      </c>
      <c r="D547" s="5">
        <v>1744.95</v>
      </c>
      <c r="E547" s="5">
        <v>2.0</v>
      </c>
      <c r="F547" s="6">
        <v>3489.9</v>
      </c>
      <c r="G547" s="2" t="s">
        <v>1711</v>
      </c>
      <c r="H547" s="2" t="s">
        <v>1712</v>
      </c>
      <c r="I547" s="2" t="s">
        <v>1713</v>
      </c>
    </row>
    <row r="548" ht="15.75" customHeight="1">
      <c r="A548" s="1">
        <v>45635.0</v>
      </c>
      <c r="B548" s="2" t="s">
        <v>57</v>
      </c>
      <c r="C548" s="2" t="s">
        <v>62</v>
      </c>
      <c r="D548" s="5">
        <v>1865.55</v>
      </c>
      <c r="E548" s="5">
        <v>2.0</v>
      </c>
      <c r="F548" s="6">
        <v>3731.1</v>
      </c>
      <c r="G548" s="2" t="s">
        <v>1714</v>
      </c>
      <c r="H548" s="2" t="s">
        <v>1715</v>
      </c>
      <c r="I548" s="2" t="s">
        <v>1716</v>
      </c>
    </row>
    <row r="549" ht="15.75" customHeight="1">
      <c r="A549" s="1">
        <v>45635.0</v>
      </c>
      <c r="B549" s="2" t="s">
        <v>57</v>
      </c>
      <c r="C549" s="2" t="s">
        <v>22</v>
      </c>
      <c r="D549" s="5">
        <v>787.78</v>
      </c>
      <c r="E549" s="5">
        <v>3.0</v>
      </c>
      <c r="F549" s="6">
        <v>2363.34</v>
      </c>
      <c r="G549" s="2" t="s">
        <v>1717</v>
      </c>
      <c r="H549" s="2" t="s">
        <v>1718</v>
      </c>
      <c r="I549" s="2" t="s">
        <v>1719</v>
      </c>
    </row>
    <row r="550" ht="15.75" customHeight="1">
      <c r="A550" s="1">
        <v>45636.0</v>
      </c>
      <c r="B550" s="3" t="s">
        <v>29</v>
      </c>
      <c r="C550" s="2" t="s">
        <v>130</v>
      </c>
      <c r="D550" s="5">
        <v>1001.63</v>
      </c>
      <c r="E550" s="5">
        <v>3.0</v>
      </c>
      <c r="F550" s="6">
        <v>3004.89</v>
      </c>
      <c r="G550" s="2" t="s">
        <v>1720</v>
      </c>
      <c r="H550" s="2" t="s">
        <v>1721</v>
      </c>
      <c r="I550" s="2" t="s">
        <v>1722</v>
      </c>
    </row>
    <row r="551" ht="15.75" customHeight="1">
      <c r="A551" s="1">
        <v>45636.0</v>
      </c>
      <c r="B551" s="2" t="s">
        <v>9</v>
      </c>
      <c r="C551" s="2" t="s">
        <v>161</v>
      </c>
      <c r="D551" s="5">
        <v>1708.81</v>
      </c>
      <c r="E551" s="5">
        <v>1.0</v>
      </c>
      <c r="F551" s="6">
        <v>1708.81</v>
      </c>
      <c r="G551" s="2" t="s">
        <v>1723</v>
      </c>
      <c r="H551" s="2" t="s">
        <v>1724</v>
      </c>
      <c r="I551" s="2" t="s">
        <v>1725</v>
      </c>
    </row>
    <row r="552" ht="15.75" customHeight="1">
      <c r="A552" s="1">
        <v>45636.0</v>
      </c>
      <c r="B552" s="2" t="s">
        <v>14</v>
      </c>
      <c r="C552" s="2" t="s">
        <v>279</v>
      </c>
      <c r="D552" s="5">
        <v>1402.2</v>
      </c>
      <c r="E552" s="5">
        <v>5.0</v>
      </c>
      <c r="F552" s="6">
        <v>7011.0</v>
      </c>
      <c r="G552" s="2" t="s">
        <v>1726</v>
      </c>
      <c r="H552" s="2" t="s">
        <v>1727</v>
      </c>
      <c r="I552" s="2" t="s">
        <v>1728</v>
      </c>
    </row>
    <row r="553" ht="15.75" customHeight="1">
      <c r="A553" s="1">
        <v>45636.0</v>
      </c>
      <c r="B553" s="2" t="s">
        <v>34</v>
      </c>
      <c r="C553" s="2" t="s">
        <v>53</v>
      </c>
      <c r="D553" s="5">
        <v>85.19</v>
      </c>
      <c r="E553" s="5">
        <v>1.0</v>
      </c>
      <c r="F553" s="6">
        <v>85.19</v>
      </c>
      <c r="G553" s="2" t="s">
        <v>1729</v>
      </c>
      <c r="H553" s="2" t="s">
        <v>1730</v>
      </c>
      <c r="I553" s="2" t="s">
        <v>1731</v>
      </c>
    </row>
    <row r="554" ht="15.75" customHeight="1">
      <c r="A554" s="1">
        <v>45636.0</v>
      </c>
      <c r="B554" s="2" t="s">
        <v>9</v>
      </c>
      <c r="C554" s="2" t="s">
        <v>396</v>
      </c>
      <c r="D554" s="5">
        <v>240.45</v>
      </c>
      <c r="E554" s="5">
        <v>4.0</v>
      </c>
      <c r="F554" s="6">
        <v>961.8</v>
      </c>
      <c r="G554" s="2" t="s">
        <v>1732</v>
      </c>
      <c r="H554" s="2" t="s">
        <v>1733</v>
      </c>
      <c r="I554" s="2" t="s">
        <v>1734</v>
      </c>
    </row>
    <row r="555" ht="15.75" customHeight="1">
      <c r="A555" s="1">
        <v>45636.0</v>
      </c>
      <c r="B555" s="2" t="s">
        <v>74</v>
      </c>
      <c r="C555" s="2" t="s">
        <v>312</v>
      </c>
      <c r="D555" s="5">
        <v>1284.54</v>
      </c>
      <c r="E555" s="5">
        <v>3.0</v>
      </c>
      <c r="F555" s="6">
        <v>3853.62</v>
      </c>
      <c r="G555" s="2" t="s">
        <v>1735</v>
      </c>
      <c r="H555" s="2" t="s">
        <v>1736</v>
      </c>
      <c r="I555" s="2" t="s">
        <v>1737</v>
      </c>
    </row>
    <row r="556" ht="15.75" customHeight="1">
      <c r="A556" s="1">
        <v>45636.0</v>
      </c>
      <c r="B556" s="2" t="s">
        <v>74</v>
      </c>
      <c r="C556" s="2" t="s">
        <v>289</v>
      </c>
      <c r="D556" s="5">
        <v>974.06</v>
      </c>
      <c r="E556" s="5">
        <v>5.0</v>
      </c>
      <c r="F556" s="6">
        <v>4870.3</v>
      </c>
      <c r="G556" s="2" t="s">
        <v>1738</v>
      </c>
      <c r="H556" s="2" t="s">
        <v>1739</v>
      </c>
      <c r="I556" s="2" t="s">
        <v>1740</v>
      </c>
    </row>
    <row r="557" ht="15.75" customHeight="1">
      <c r="A557" s="1">
        <v>45636.0</v>
      </c>
      <c r="B557" s="2" t="s">
        <v>57</v>
      </c>
      <c r="C557" s="2" t="s">
        <v>256</v>
      </c>
      <c r="D557" s="5">
        <v>1808.15</v>
      </c>
      <c r="E557" s="5">
        <v>2.0</v>
      </c>
      <c r="F557" s="6">
        <v>3616.3</v>
      </c>
      <c r="G557" s="2" t="s">
        <v>1741</v>
      </c>
      <c r="H557" s="2" t="s">
        <v>1742</v>
      </c>
      <c r="I557" s="2" t="s">
        <v>1743</v>
      </c>
    </row>
    <row r="558" ht="15.75" customHeight="1">
      <c r="A558" s="1">
        <v>45636.0</v>
      </c>
      <c r="B558" s="2" t="s">
        <v>57</v>
      </c>
      <c r="C558" s="2" t="s">
        <v>187</v>
      </c>
      <c r="D558" s="5">
        <v>1969.69</v>
      </c>
      <c r="E558" s="5">
        <v>4.0</v>
      </c>
      <c r="F558" s="6">
        <v>7878.76</v>
      </c>
      <c r="G558" s="2" t="s">
        <v>1744</v>
      </c>
      <c r="H558" s="2" t="s">
        <v>1745</v>
      </c>
      <c r="I558" s="7" t="s">
        <v>1746</v>
      </c>
    </row>
    <row r="559" ht="15.75" customHeight="1">
      <c r="A559" s="1">
        <v>45636.0</v>
      </c>
      <c r="B559" s="2" t="s">
        <v>34</v>
      </c>
      <c r="C559" s="2" t="s">
        <v>230</v>
      </c>
      <c r="D559" s="5">
        <v>2351.13</v>
      </c>
      <c r="E559" s="5">
        <v>1.0</v>
      </c>
      <c r="F559" s="6">
        <v>2351.13</v>
      </c>
      <c r="G559" s="2" t="s">
        <v>1747</v>
      </c>
      <c r="H559" s="2" t="s">
        <v>1748</v>
      </c>
      <c r="I559" s="2" t="s">
        <v>1749</v>
      </c>
    </row>
    <row r="560" ht="15.75" customHeight="1">
      <c r="A560" s="1">
        <v>45636.0</v>
      </c>
      <c r="B560" s="3" t="s">
        <v>29</v>
      </c>
      <c r="C560" s="2" t="s">
        <v>169</v>
      </c>
      <c r="D560" s="5">
        <v>173.92</v>
      </c>
      <c r="E560" s="5">
        <v>3.0</v>
      </c>
      <c r="F560" s="6">
        <v>521.76</v>
      </c>
      <c r="G560" s="2" t="s">
        <v>1750</v>
      </c>
      <c r="H560" s="2" t="s">
        <v>1751</v>
      </c>
      <c r="I560" s="2" t="s">
        <v>1752</v>
      </c>
    </row>
    <row r="561" ht="15.75" customHeight="1">
      <c r="A561" s="1">
        <v>45637.0</v>
      </c>
      <c r="B561" s="2" t="s">
        <v>14</v>
      </c>
      <c r="C561" s="2" t="s">
        <v>35</v>
      </c>
      <c r="D561" s="5">
        <v>817.03</v>
      </c>
      <c r="E561" s="5">
        <v>2.0</v>
      </c>
      <c r="F561" s="6">
        <v>1634.06</v>
      </c>
      <c r="G561" s="2" t="s">
        <v>1753</v>
      </c>
      <c r="H561" s="2" t="s">
        <v>1754</v>
      </c>
      <c r="I561" s="2" t="s">
        <v>1755</v>
      </c>
    </row>
    <row r="562" ht="15.75" customHeight="1">
      <c r="A562" s="1">
        <v>45637.0</v>
      </c>
      <c r="B562" s="2" t="s">
        <v>34</v>
      </c>
      <c r="C562" s="2" t="s">
        <v>75</v>
      </c>
      <c r="D562" s="5">
        <v>1332.48</v>
      </c>
      <c r="E562" s="5">
        <v>5.0</v>
      </c>
      <c r="F562" s="6">
        <v>6662.4</v>
      </c>
      <c r="G562" s="2" t="s">
        <v>1756</v>
      </c>
      <c r="H562" s="2" t="s">
        <v>1757</v>
      </c>
      <c r="I562" s="2" t="s">
        <v>1758</v>
      </c>
    </row>
    <row r="563" ht="15.75" customHeight="1">
      <c r="A563" s="1">
        <v>45637.0</v>
      </c>
      <c r="B563" s="2" t="s">
        <v>14</v>
      </c>
      <c r="C563" s="2" t="s">
        <v>279</v>
      </c>
      <c r="D563" s="5">
        <v>273.29</v>
      </c>
      <c r="E563" s="5">
        <v>5.0</v>
      </c>
      <c r="F563" s="6">
        <v>1366.45</v>
      </c>
      <c r="G563" s="2" t="s">
        <v>1759</v>
      </c>
      <c r="H563" s="2" t="s">
        <v>1760</v>
      </c>
      <c r="I563" s="2" t="s">
        <v>1761</v>
      </c>
    </row>
    <row r="564" ht="15.75" customHeight="1">
      <c r="A564" s="1">
        <v>45637.0</v>
      </c>
      <c r="B564" s="2" t="s">
        <v>9</v>
      </c>
      <c r="C564" s="2" t="s">
        <v>75</v>
      </c>
      <c r="D564" s="5">
        <v>782.8</v>
      </c>
      <c r="E564" s="5">
        <v>2.0</v>
      </c>
      <c r="F564" s="6">
        <v>1565.6</v>
      </c>
      <c r="G564" s="2" t="s">
        <v>1762</v>
      </c>
      <c r="H564" s="2" t="s">
        <v>1763</v>
      </c>
      <c r="I564" s="2" t="s">
        <v>1764</v>
      </c>
    </row>
    <row r="565" ht="15.75" customHeight="1">
      <c r="A565" s="1">
        <v>45637.0</v>
      </c>
      <c r="B565" s="2" t="s">
        <v>57</v>
      </c>
      <c r="C565" s="2" t="s">
        <v>366</v>
      </c>
      <c r="D565" s="5">
        <v>1198.31</v>
      </c>
      <c r="E565" s="5">
        <v>3.0</v>
      </c>
      <c r="F565" s="6">
        <v>3594.93</v>
      </c>
      <c r="G565" s="2" t="s">
        <v>1765</v>
      </c>
      <c r="H565" s="2" t="s">
        <v>1766</v>
      </c>
      <c r="I565" s="2" t="s">
        <v>1767</v>
      </c>
    </row>
    <row r="566" ht="15.75" customHeight="1">
      <c r="A566" s="1">
        <v>45637.0</v>
      </c>
      <c r="B566" s="2" t="s">
        <v>34</v>
      </c>
      <c r="C566" s="2" t="s">
        <v>88</v>
      </c>
      <c r="D566" s="5">
        <v>569.56</v>
      </c>
      <c r="E566" s="5">
        <v>4.0</v>
      </c>
      <c r="F566" s="6">
        <v>2278.24</v>
      </c>
      <c r="G566" s="2" t="s">
        <v>1768</v>
      </c>
      <c r="H566" s="2" t="s">
        <v>1769</v>
      </c>
      <c r="I566" s="2" t="s">
        <v>1770</v>
      </c>
    </row>
    <row r="567" ht="15.75" customHeight="1">
      <c r="A567" s="1">
        <v>45637.0</v>
      </c>
      <c r="B567" s="2" t="s">
        <v>14</v>
      </c>
      <c r="C567" s="2" t="s">
        <v>22</v>
      </c>
      <c r="D567" s="5">
        <v>1672.13</v>
      </c>
      <c r="E567" s="5">
        <v>4.0</v>
      </c>
      <c r="F567" s="6">
        <v>6688.52</v>
      </c>
      <c r="G567" s="2" t="s">
        <v>1771</v>
      </c>
      <c r="H567" s="2" t="s">
        <v>1772</v>
      </c>
      <c r="I567" s="2" t="s">
        <v>1773</v>
      </c>
    </row>
    <row r="568" ht="15.75" customHeight="1">
      <c r="A568" s="1">
        <v>45637.0</v>
      </c>
      <c r="B568" s="3" t="s">
        <v>29</v>
      </c>
      <c r="C568" s="2" t="s">
        <v>169</v>
      </c>
      <c r="D568" s="5">
        <v>1603.02</v>
      </c>
      <c r="E568" s="5">
        <v>4.0</v>
      </c>
      <c r="F568" s="6">
        <v>6412.08</v>
      </c>
      <c r="G568" s="2" t="s">
        <v>1774</v>
      </c>
      <c r="H568" s="2" t="s">
        <v>1775</v>
      </c>
      <c r="I568" s="2" t="s">
        <v>1776</v>
      </c>
    </row>
    <row r="569" ht="15.75" customHeight="1">
      <c r="A569" s="1">
        <v>45637.0</v>
      </c>
      <c r="B569" s="2" t="s">
        <v>74</v>
      </c>
      <c r="C569" s="2" t="s">
        <v>230</v>
      </c>
      <c r="D569" s="5">
        <v>1076.71</v>
      </c>
      <c r="E569" s="5">
        <v>3.0</v>
      </c>
      <c r="F569" s="6">
        <v>3230.13</v>
      </c>
      <c r="G569" s="2" t="s">
        <v>1777</v>
      </c>
      <c r="H569" s="2" t="s">
        <v>1778</v>
      </c>
      <c r="I569" s="2" t="s">
        <v>1779</v>
      </c>
    </row>
    <row r="570" ht="15.75" customHeight="1">
      <c r="A570" s="1">
        <v>45637.0</v>
      </c>
      <c r="B570" s="2" t="s">
        <v>57</v>
      </c>
      <c r="C570" s="2" t="s">
        <v>130</v>
      </c>
      <c r="D570" s="5">
        <v>1203.25</v>
      </c>
      <c r="E570" s="5">
        <v>4.0</v>
      </c>
      <c r="F570" s="6">
        <v>4813.0</v>
      </c>
      <c r="G570" s="2" t="s">
        <v>1780</v>
      </c>
      <c r="H570" s="2" t="s">
        <v>1781</v>
      </c>
      <c r="I570" s="2" t="s">
        <v>1782</v>
      </c>
    </row>
    <row r="571" ht="15.75" customHeight="1">
      <c r="A571" s="1">
        <v>45638.0</v>
      </c>
      <c r="B571" s="3" t="s">
        <v>29</v>
      </c>
      <c r="C571" s="2" t="s">
        <v>161</v>
      </c>
      <c r="D571" s="5">
        <v>1247.13</v>
      </c>
      <c r="E571" s="5">
        <v>5.0</v>
      </c>
      <c r="F571" s="6">
        <v>6235.65</v>
      </c>
      <c r="G571" s="2" t="s">
        <v>1783</v>
      </c>
      <c r="H571" s="2" t="s">
        <v>1784</v>
      </c>
      <c r="I571" s="2" t="s">
        <v>1785</v>
      </c>
    </row>
    <row r="572" ht="15.75" customHeight="1">
      <c r="A572" s="1">
        <v>45638.0</v>
      </c>
      <c r="B572" s="2" t="s">
        <v>9</v>
      </c>
      <c r="C572" s="2" t="s">
        <v>316</v>
      </c>
      <c r="D572" s="5">
        <v>153.47</v>
      </c>
      <c r="E572" s="5">
        <v>3.0</v>
      </c>
      <c r="F572" s="6">
        <v>460.41</v>
      </c>
      <c r="G572" s="2" t="s">
        <v>1786</v>
      </c>
      <c r="H572" s="2" t="s">
        <v>1787</v>
      </c>
      <c r="I572" s="2" t="s">
        <v>1788</v>
      </c>
    </row>
    <row r="573" ht="15.75" customHeight="1">
      <c r="A573" s="1">
        <v>45638.0</v>
      </c>
      <c r="B573" s="3" t="s">
        <v>29</v>
      </c>
      <c r="C573" s="2" t="s">
        <v>312</v>
      </c>
      <c r="D573" s="5">
        <v>834.63</v>
      </c>
      <c r="E573" s="5">
        <v>4.0</v>
      </c>
      <c r="F573" s="6">
        <v>3338.52</v>
      </c>
      <c r="G573" s="2" t="s">
        <v>1789</v>
      </c>
      <c r="H573" s="2" t="s">
        <v>1790</v>
      </c>
      <c r="I573" s="2" t="s">
        <v>1791</v>
      </c>
    </row>
    <row r="574" ht="15.75" customHeight="1">
      <c r="A574" s="1">
        <v>45638.0</v>
      </c>
      <c r="B574" s="2" t="s">
        <v>57</v>
      </c>
      <c r="C574" s="2" t="s">
        <v>58</v>
      </c>
      <c r="D574" s="5">
        <v>1268.59</v>
      </c>
      <c r="E574" s="5">
        <v>4.0</v>
      </c>
      <c r="F574" s="6">
        <v>5074.36</v>
      </c>
      <c r="G574" s="2" t="s">
        <v>1792</v>
      </c>
      <c r="H574" s="2" t="s">
        <v>1793</v>
      </c>
      <c r="I574" s="2" t="s">
        <v>1794</v>
      </c>
    </row>
    <row r="575" ht="15.75" customHeight="1">
      <c r="A575" s="1">
        <v>45638.0</v>
      </c>
      <c r="B575" s="2" t="s">
        <v>57</v>
      </c>
      <c r="C575" s="2" t="s">
        <v>115</v>
      </c>
      <c r="D575" s="5">
        <v>181.16</v>
      </c>
      <c r="E575" s="5">
        <v>4.0</v>
      </c>
      <c r="F575" s="6">
        <v>724.64</v>
      </c>
      <c r="G575" s="2" t="s">
        <v>1795</v>
      </c>
      <c r="H575" s="2" t="s">
        <v>1796</v>
      </c>
      <c r="I575" s="2" t="s">
        <v>1797</v>
      </c>
    </row>
    <row r="576" ht="15.75" customHeight="1">
      <c r="A576" s="1">
        <v>45639.0</v>
      </c>
      <c r="B576" s="2" t="s">
        <v>9</v>
      </c>
      <c r="C576" s="2" t="s">
        <v>79</v>
      </c>
      <c r="D576" s="5">
        <v>934.1</v>
      </c>
      <c r="E576" s="5">
        <v>2.0</v>
      </c>
      <c r="F576" s="6">
        <v>1868.2</v>
      </c>
      <c r="G576" s="2" t="s">
        <v>1798</v>
      </c>
      <c r="H576" s="2" t="s">
        <v>1799</v>
      </c>
      <c r="I576" s="2" t="s">
        <v>1800</v>
      </c>
    </row>
    <row r="577" ht="15.75" customHeight="1">
      <c r="A577" s="1">
        <v>45639.0</v>
      </c>
      <c r="B577" s="2" t="s">
        <v>9</v>
      </c>
      <c r="C577" s="2" t="s">
        <v>427</v>
      </c>
      <c r="D577" s="5">
        <v>1566.36</v>
      </c>
      <c r="E577" s="5">
        <v>5.0</v>
      </c>
      <c r="F577" s="6">
        <v>7831.8</v>
      </c>
      <c r="G577" s="2" t="s">
        <v>1801</v>
      </c>
      <c r="H577" s="2" t="s">
        <v>1802</v>
      </c>
      <c r="I577" s="2" t="s">
        <v>1803</v>
      </c>
    </row>
    <row r="578" ht="15.75" customHeight="1">
      <c r="A578" s="1">
        <v>45639.0</v>
      </c>
      <c r="B578" s="2" t="s">
        <v>34</v>
      </c>
      <c r="C578" s="2" t="s">
        <v>161</v>
      </c>
      <c r="D578" s="5">
        <v>288.64</v>
      </c>
      <c r="E578" s="5">
        <v>1.0</v>
      </c>
      <c r="F578" s="6">
        <v>288.64</v>
      </c>
      <c r="G578" s="2" t="s">
        <v>1804</v>
      </c>
      <c r="H578" s="2" t="s">
        <v>1805</v>
      </c>
      <c r="I578" s="2" t="s">
        <v>1806</v>
      </c>
    </row>
    <row r="579" ht="15.75" customHeight="1">
      <c r="A579" s="1">
        <v>45639.0</v>
      </c>
      <c r="B579" s="2" t="s">
        <v>57</v>
      </c>
      <c r="C579" s="2" t="s">
        <v>252</v>
      </c>
      <c r="D579" s="5">
        <v>1164.16</v>
      </c>
      <c r="E579" s="5">
        <v>4.0</v>
      </c>
      <c r="F579" s="6">
        <v>4656.64</v>
      </c>
      <c r="G579" s="2" t="s">
        <v>1807</v>
      </c>
      <c r="H579" s="2" t="s">
        <v>1808</v>
      </c>
      <c r="I579" s="2" t="s">
        <v>1809</v>
      </c>
    </row>
    <row r="580" ht="15.75" customHeight="1">
      <c r="A580" s="1">
        <v>45639.0</v>
      </c>
      <c r="B580" s="2" t="s">
        <v>14</v>
      </c>
      <c r="C580" s="2" t="s">
        <v>289</v>
      </c>
      <c r="D580" s="5">
        <v>494.57</v>
      </c>
      <c r="E580" s="5">
        <v>1.0</v>
      </c>
      <c r="F580" s="6">
        <v>494.57</v>
      </c>
      <c r="G580" s="2" t="s">
        <v>1810</v>
      </c>
      <c r="H580" s="2" t="s">
        <v>1811</v>
      </c>
      <c r="I580" s="2" t="s">
        <v>1812</v>
      </c>
    </row>
    <row r="581" ht="15.75" customHeight="1">
      <c r="A581" s="1">
        <v>45639.0</v>
      </c>
      <c r="B581" s="2" t="s">
        <v>57</v>
      </c>
      <c r="C581" s="2" t="s">
        <v>88</v>
      </c>
      <c r="D581" s="5">
        <v>2145.76</v>
      </c>
      <c r="E581" s="5">
        <v>5.0</v>
      </c>
      <c r="F581" s="6">
        <v>10728.8</v>
      </c>
      <c r="G581" s="2" t="s">
        <v>1813</v>
      </c>
      <c r="H581" s="2" t="s">
        <v>1814</v>
      </c>
      <c r="I581" s="2" t="s">
        <v>1815</v>
      </c>
    </row>
    <row r="582" ht="15.75" customHeight="1">
      <c r="A582" s="1">
        <v>45640.0</v>
      </c>
      <c r="B582" s="2" t="s">
        <v>74</v>
      </c>
      <c r="C582" s="2" t="s">
        <v>396</v>
      </c>
      <c r="D582" s="5">
        <v>2116.69</v>
      </c>
      <c r="E582" s="5">
        <v>2.0</v>
      </c>
      <c r="F582" s="6">
        <v>4233.38</v>
      </c>
      <c r="G582" s="2" t="s">
        <v>1816</v>
      </c>
      <c r="H582" s="2" t="s">
        <v>1817</v>
      </c>
      <c r="I582" s="2" t="s">
        <v>1818</v>
      </c>
    </row>
    <row r="583" ht="15.75" customHeight="1">
      <c r="A583" s="1">
        <v>45640.0</v>
      </c>
      <c r="B583" s="2" t="s">
        <v>9</v>
      </c>
      <c r="C583" s="2" t="s">
        <v>183</v>
      </c>
      <c r="D583" s="5">
        <v>2312.52</v>
      </c>
      <c r="E583" s="5">
        <v>1.0</v>
      </c>
      <c r="F583" s="6">
        <v>2312.52</v>
      </c>
      <c r="G583" s="2" t="s">
        <v>1819</v>
      </c>
      <c r="H583" s="2" t="s">
        <v>1820</v>
      </c>
      <c r="I583" s="2" t="s">
        <v>1821</v>
      </c>
    </row>
    <row r="584" ht="15.75" customHeight="1">
      <c r="A584" s="1">
        <v>45640.0</v>
      </c>
      <c r="B584" s="2" t="s">
        <v>34</v>
      </c>
      <c r="C584" s="2" t="s">
        <v>151</v>
      </c>
      <c r="D584" s="5">
        <v>516.02</v>
      </c>
      <c r="E584" s="5">
        <v>4.0</v>
      </c>
      <c r="F584" s="6">
        <v>2064.08</v>
      </c>
      <c r="G584" s="2" t="s">
        <v>1822</v>
      </c>
      <c r="H584" s="2" t="s">
        <v>1823</v>
      </c>
      <c r="I584" s="2" t="s">
        <v>1824</v>
      </c>
    </row>
    <row r="585" ht="15.75" customHeight="1">
      <c r="A585" s="1">
        <v>45640.0</v>
      </c>
      <c r="B585" s="2" t="s">
        <v>14</v>
      </c>
      <c r="C585" s="2" t="s">
        <v>308</v>
      </c>
      <c r="D585" s="5">
        <v>177.74</v>
      </c>
      <c r="E585" s="5">
        <v>4.0</v>
      </c>
      <c r="F585" s="6">
        <v>710.96</v>
      </c>
      <c r="G585" s="2" t="s">
        <v>1825</v>
      </c>
      <c r="H585" s="2" t="s">
        <v>1826</v>
      </c>
      <c r="I585" s="2" t="s">
        <v>1827</v>
      </c>
    </row>
    <row r="586" ht="15.75" customHeight="1">
      <c r="A586" s="1">
        <v>45640.0</v>
      </c>
      <c r="B586" s="3" t="s">
        <v>29</v>
      </c>
      <c r="C586" s="2" t="s">
        <v>79</v>
      </c>
      <c r="D586" s="5">
        <v>2083.24</v>
      </c>
      <c r="E586" s="5">
        <v>1.0</v>
      </c>
      <c r="F586" s="6">
        <v>2083.24</v>
      </c>
      <c r="G586" s="2" t="s">
        <v>1828</v>
      </c>
      <c r="H586" s="2" t="s">
        <v>1829</v>
      </c>
      <c r="I586" s="2" t="s">
        <v>1830</v>
      </c>
    </row>
    <row r="587" ht="15.75" customHeight="1">
      <c r="A587" s="1">
        <v>45640.0</v>
      </c>
      <c r="B587" s="3" t="s">
        <v>29</v>
      </c>
      <c r="C587" s="2" t="s">
        <v>49</v>
      </c>
      <c r="D587" s="5">
        <v>818.61</v>
      </c>
      <c r="E587" s="5">
        <v>3.0</v>
      </c>
      <c r="F587" s="6">
        <v>2455.83</v>
      </c>
      <c r="G587" s="2" t="s">
        <v>1831</v>
      </c>
      <c r="H587" s="2" t="s">
        <v>1832</v>
      </c>
      <c r="I587" s="2" t="s">
        <v>1833</v>
      </c>
    </row>
    <row r="588" ht="15.75" customHeight="1">
      <c r="A588" s="1">
        <v>45640.0</v>
      </c>
      <c r="B588" s="2" t="s">
        <v>9</v>
      </c>
      <c r="C588" s="2" t="s">
        <v>15</v>
      </c>
      <c r="D588" s="5">
        <v>2389.97</v>
      </c>
      <c r="E588" s="5">
        <v>3.0</v>
      </c>
      <c r="F588" s="6">
        <v>7169.91</v>
      </c>
      <c r="G588" s="2" t="s">
        <v>1834</v>
      </c>
      <c r="H588" s="2" t="s">
        <v>1835</v>
      </c>
      <c r="I588" s="2" t="s">
        <v>1836</v>
      </c>
    </row>
    <row r="589" ht="15.75" customHeight="1">
      <c r="A589" s="1">
        <v>45640.0</v>
      </c>
      <c r="B589" s="2" t="s">
        <v>57</v>
      </c>
      <c r="C589" s="2" t="s">
        <v>396</v>
      </c>
      <c r="D589" s="5">
        <v>997.09</v>
      </c>
      <c r="E589" s="5">
        <v>2.0</v>
      </c>
      <c r="F589" s="6">
        <v>1994.18</v>
      </c>
      <c r="G589" s="2" t="s">
        <v>1837</v>
      </c>
      <c r="H589" s="2" t="s">
        <v>1838</v>
      </c>
      <c r="I589" s="2" t="s">
        <v>1839</v>
      </c>
    </row>
    <row r="590" ht="15.75" customHeight="1">
      <c r="A590" s="1">
        <v>45640.0</v>
      </c>
      <c r="B590" s="3" t="s">
        <v>29</v>
      </c>
      <c r="C590" s="2" t="s">
        <v>230</v>
      </c>
      <c r="D590" s="5">
        <v>1939.56</v>
      </c>
      <c r="E590" s="5">
        <v>5.0</v>
      </c>
      <c r="F590" s="6">
        <v>9697.8</v>
      </c>
      <c r="G590" s="2" t="s">
        <v>1840</v>
      </c>
      <c r="H590" s="2" t="s">
        <v>1841</v>
      </c>
      <c r="I590" s="2" t="s">
        <v>1842</v>
      </c>
    </row>
    <row r="591" ht="15.75" customHeight="1">
      <c r="A591" s="1">
        <v>45641.0</v>
      </c>
      <c r="B591" s="2" t="s">
        <v>9</v>
      </c>
      <c r="C591" s="2" t="s">
        <v>92</v>
      </c>
      <c r="D591" s="5">
        <v>787.6</v>
      </c>
      <c r="E591" s="5">
        <v>1.0</v>
      </c>
      <c r="F591" s="6">
        <v>787.6</v>
      </c>
      <c r="G591" s="2" t="s">
        <v>1843</v>
      </c>
      <c r="H591" s="2" t="s">
        <v>1844</v>
      </c>
      <c r="I591" s="2" t="s">
        <v>1845</v>
      </c>
    </row>
    <row r="592" ht="15.75" customHeight="1">
      <c r="A592" s="1">
        <v>45641.0</v>
      </c>
      <c r="B592" s="2" t="s">
        <v>9</v>
      </c>
      <c r="C592" s="2" t="s">
        <v>115</v>
      </c>
      <c r="D592" s="5">
        <v>1710.52</v>
      </c>
      <c r="E592" s="5">
        <v>2.0</v>
      </c>
      <c r="F592" s="6">
        <v>3421.04</v>
      </c>
      <c r="G592" s="2" t="s">
        <v>1846</v>
      </c>
      <c r="H592" s="2" t="s">
        <v>1847</v>
      </c>
      <c r="I592" s="2" t="s">
        <v>1848</v>
      </c>
    </row>
    <row r="593" ht="15.75" customHeight="1">
      <c r="A593" s="1">
        <v>45641.0</v>
      </c>
      <c r="B593" s="2" t="s">
        <v>57</v>
      </c>
      <c r="C593" s="2" t="s">
        <v>341</v>
      </c>
      <c r="D593" s="5">
        <v>817.31</v>
      </c>
      <c r="E593" s="5">
        <v>2.0</v>
      </c>
      <c r="F593" s="6">
        <v>1634.62</v>
      </c>
      <c r="G593" s="2" t="s">
        <v>1849</v>
      </c>
      <c r="H593" s="2" t="s">
        <v>1850</v>
      </c>
      <c r="I593" s="2" t="s">
        <v>1851</v>
      </c>
    </row>
    <row r="594" ht="15.75" customHeight="1">
      <c r="A594" s="1">
        <v>45641.0</v>
      </c>
      <c r="B594" s="2" t="s">
        <v>14</v>
      </c>
      <c r="C594" s="2" t="s">
        <v>165</v>
      </c>
      <c r="D594" s="5">
        <v>101.1</v>
      </c>
      <c r="E594" s="5">
        <v>3.0</v>
      </c>
      <c r="F594" s="6">
        <v>303.3</v>
      </c>
      <c r="G594" s="2" t="s">
        <v>1852</v>
      </c>
      <c r="H594" s="2" t="s">
        <v>1853</v>
      </c>
      <c r="I594" s="2" t="s">
        <v>1854</v>
      </c>
    </row>
    <row r="595" ht="15.75" customHeight="1">
      <c r="A595" s="1">
        <v>45641.0</v>
      </c>
      <c r="B595" s="2" t="s">
        <v>9</v>
      </c>
      <c r="C595" s="2" t="s">
        <v>222</v>
      </c>
      <c r="D595" s="5">
        <v>303.05</v>
      </c>
      <c r="E595" s="5">
        <v>1.0</v>
      </c>
      <c r="F595" s="6">
        <v>303.05</v>
      </c>
      <c r="G595" s="2" t="s">
        <v>1855</v>
      </c>
      <c r="H595" s="2" t="s">
        <v>1856</v>
      </c>
      <c r="I595" s="2" t="s">
        <v>1857</v>
      </c>
    </row>
    <row r="596" ht="15.75" customHeight="1">
      <c r="A596" s="1">
        <v>45641.0</v>
      </c>
      <c r="B596" s="2" t="s">
        <v>74</v>
      </c>
      <c r="C596" s="2" t="s">
        <v>187</v>
      </c>
      <c r="D596" s="5">
        <v>806.78</v>
      </c>
      <c r="E596" s="5">
        <v>1.0</v>
      </c>
      <c r="F596" s="6">
        <v>806.78</v>
      </c>
      <c r="G596" s="2" t="s">
        <v>1858</v>
      </c>
      <c r="H596" s="2" t="s">
        <v>1859</v>
      </c>
      <c r="I596" s="2" t="s">
        <v>1860</v>
      </c>
    </row>
    <row r="597" ht="15.75" customHeight="1">
      <c r="A597" s="1">
        <v>45641.0</v>
      </c>
      <c r="B597" s="2" t="s">
        <v>57</v>
      </c>
      <c r="C597" s="2" t="s">
        <v>130</v>
      </c>
      <c r="D597" s="5">
        <v>741.53</v>
      </c>
      <c r="E597" s="5">
        <v>3.0</v>
      </c>
      <c r="F597" s="6">
        <v>2224.59</v>
      </c>
      <c r="G597" s="2" t="s">
        <v>1861</v>
      </c>
      <c r="H597" s="2" t="s">
        <v>1862</v>
      </c>
      <c r="I597" s="2" t="s">
        <v>1863</v>
      </c>
    </row>
    <row r="598" ht="15.75" customHeight="1">
      <c r="A598" s="1">
        <v>45641.0</v>
      </c>
      <c r="B598" s="3" t="s">
        <v>29</v>
      </c>
      <c r="C598" s="2" t="s">
        <v>30</v>
      </c>
      <c r="D598" s="5">
        <v>1423.68</v>
      </c>
      <c r="E598" s="5">
        <v>1.0</v>
      </c>
      <c r="F598" s="6">
        <v>1423.68</v>
      </c>
      <c r="G598" s="2" t="s">
        <v>1864</v>
      </c>
      <c r="H598" s="2" t="s">
        <v>1865</v>
      </c>
      <c r="I598" s="2" t="s">
        <v>1866</v>
      </c>
    </row>
    <row r="599" ht="15.75" customHeight="1">
      <c r="A599" s="1">
        <v>45642.0</v>
      </c>
      <c r="B599" s="2" t="s">
        <v>9</v>
      </c>
      <c r="C599" s="2" t="s">
        <v>215</v>
      </c>
      <c r="D599" s="5">
        <v>658.01</v>
      </c>
      <c r="E599" s="5">
        <v>5.0</v>
      </c>
      <c r="F599" s="6">
        <v>3290.05</v>
      </c>
      <c r="G599" s="2" t="s">
        <v>1867</v>
      </c>
      <c r="H599" s="2" t="s">
        <v>1868</v>
      </c>
      <c r="I599" s="2" t="s">
        <v>1869</v>
      </c>
    </row>
    <row r="600" ht="15.75" customHeight="1">
      <c r="A600" s="1">
        <v>45642.0</v>
      </c>
      <c r="B600" s="2" t="s">
        <v>34</v>
      </c>
      <c r="C600" s="2" t="s">
        <v>151</v>
      </c>
      <c r="D600" s="5">
        <v>421.27</v>
      </c>
      <c r="E600" s="5">
        <v>4.0</v>
      </c>
      <c r="F600" s="6">
        <v>1685.08</v>
      </c>
      <c r="G600" s="2" t="s">
        <v>1870</v>
      </c>
      <c r="H600" s="2" t="s">
        <v>1871</v>
      </c>
      <c r="I600" s="2" t="s">
        <v>1872</v>
      </c>
    </row>
    <row r="601" ht="15.75" customHeight="1">
      <c r="A601" s="1">
        <v>45642.0</v>
      </c>
      <c r="B601" s="2" t="s">
        <v>74</v>
      </c>
      <c r="C601" s="2" t="s">
        <v>289</v>
      </c>
      <c r="D601" s="5">
        <v>814.63</v>
      </c>
      <c r="E601" s="5">
        <v>1.0</v>
      </c>
      <c r="F601" s="6">
        <v>814.63</v>
      </c>
      <c r="G601" s="2" t="s">
        <v>1873</v>
      </c>
      <c r="H601" s="2" t="s">
        <v>1874</v>
      </c>
      <c r="I601" s="2" t="s">
        <v>1875</v>
      </c>
    </row>
    <row r="602" ht="15.75" customHeight="1">
      <c r="A602" s="1">
        <v>45642.0</v>
      </c>
      <c r="B602" s="2" t="s">
        <v>34</v>
      </c>
      <c r="C602" s="2" t="s">
        <v>289</v>
      </c>
      <c r="D602" s="5">
        <v>205.57</v>
      </c>
      <c r="E602" s="5">
        <v>5.0</v>
      </c>
      <c r="F602" s="6">
        <v>1027.85</v>
      </c>
      <c r="G602" s="2" t="s">
        <v>1876</v>
      </c>
      <c r="H602" s="2" t="s">
        <v>1877</v>
      </c>
      <c r="I602" s="2" t="s">
        <v>1878</v>
      </c>
    </row>
    <row r="603" ht="15.75" customHeight="1">
      <c r="A603" s="1">
        <v>45642.0</v>
      </c>
      <c r="B603" s="2" t="s">
        <v>34</v>
      </c>
      <c r="C603" s="2" t="s">
        <v>215</v>
      </c>
      <c r="D603" s="5">
        <v>785.82</v>
      </c>
      <c r="E603" s="5">
        <v>2.0</v>
      </c>
      <c r="F603" s="6">
        <v>1571.64</v>
      </c>
      <c r="G603" s="2" t="s">
        <v>1879</v>
      </c>
      <c r="H603" s="2" t="s">
        <v>1880</v>
      </c>
      <c r="I603" s="2" t="s">
        <v>1881</v>
      </c>
    </row>
    <row r="604" ht="15.75" customHeight="1">
      <c r="A604" s="1">
        <v>45642.0</v>
      </c>
      <c r="B604" s="3" t="s">
        <v>29</v>
      </c>
      <c r="C604" s="2" t="s">
        <v>252</v>
      </c>
      <c r="D604" s="5">
        <v>1220.85</v>
      </c>
      <c r="E604" s="5">
        <v>1.0</v>
      </c>
      <c r="F604" s="6">
        <v>1220.85</v>
      </c>
      <c r="G604" s="2" t="s">
        <v>1882</v>
      </c>
      <c r="H604" s="2" t="s">
        <v>1883</v>
      </c>
      <c r="I604" s="2" t="s">
        <v>1884</v>
      </c>
    </row>
    <row r="605" ht="15.75" customHeight="1">
      <c r="A605" s="1">
        <v>45642.0</v>
      </c>
      <c r="B605" s="2" t="s">
        <v>57</v>
      </c>
      <c r="C605" s="2" t="s">
        <v>62</v>
      </c>
      <c r="D605" s="5">
        <v>2281.01</v>
      </c>
      <c r="E605" s="5">
        <v>4.0</v>
      </c>
      <c r="F605" s="6">
        <v>9124.04</v>
      </c>
      <c r="G605" s="2" t="s">
        <v>1885</v>
      </c>
      <c r="H605" s="2" t="s">
        <v>1886</v>
      </c>
      <c r="I605" s="2" t="s">
        <v>1887</v>
      </c>
    </row>
    <row r="606" ht="15.75" customHeight="1">
      <c r="A606" s="1">
        <v>45642.0</v>
      </c>
      <c r="B606" s="2" t="s">
        <v>14</v>
      </c>
      <c r="C606" s="2" t="s">
        <v>252</v>
      </c>
      <c r="D606" s="5">
        <v>763.21</v>
      </c>
      <c r="E606" s="5">
        <v>5.0</v>
      </c>
      <c r="F606" s="6">
        <v>3816.05</v>
      </c>
      <c r="G606" s="2" t="s">
        <v>1888</v>
      </c>
      <c r="H606" s="2" t="s">
        <v>1889</v>
      </c>
      <c r="I606" s="2" t="s">
        <v>1890</v>
      </c>
    </row>
    <row r="607" ht="15.75" customHeight="1">
      <c r="A607" s="1">
        <v>45642.0</v>
      </c>
      <c r="B607" s="2" t="s">
        <v>74</v>
      </c>
      <c r="C607" s="2" t="s">
        <v>396</v>
      </c>
      <c r="D607" s="5">
        <v>1711.88</v>
      </c>
      <c r="E607" s="5">
        <v>2.0</v>
      </c>
      <c r="F607" s="6">
        <v>3423.76</v>
      </c>
      <c r="G607" s="2" t="s">
        <v>1891</v>
      </c>
      <c r="H607" s="2" t="s">
        <v>1892</v>
      </c>
      <c r="I607" s="2" t="s">
        <v>1893</v>
      </c>
    </row>
    <row r="608" ht="15.75" customHeight="1">
      <c r="A608" s="1">
        <v>45642.0</v>
      </c>
      <c r="B608" s="2" t="s">
        <v>34</v>
      </c>
      <c r="C608" s="2" t="s">
        <v>137</v>
      </c>
      <c r="D608" s="5">
        <v>1252.47</v>
      </c>
      <c r="E608" s="5">
        <v>5.0</v>
      </c>
      <c r="F608" s="6">
        <v>6262.35</v>
      </c>
      <c r="G608" s="2" t="s">
        <v>1894</v>
      </c>
      <c r="H608" s="2" t="s">
        <v>1895</v>
      </c>
      <c r="I608" s="2" t="s">
        <v>1896</v>
      </c>
    </row>
    <row r="609" ht="15.75" customHeight="1">
      <c r="A609" s="1">
        <v>45642.0</v>
      </c>
      <c r="B609" s="2" t="s">
        <v>34</v>
      </c>
      <c r="C609" s="2" t="s">
        <v>279</v>
      </c>
      <c r="D609" s="5">
        <v>1119.17</v>
      </c>
      <c r="E609" s="5">
        <v>5.0</v>
      </c>
      <c r="F609" s="6">
        <v>5595.85</v>
      </c>
      <c r="G609" s="2" t="s">
        <v>1897</v>
      </c>
      <c r="H609" s="2" t="s">
        <v>1898</v>
      </c>
      <c r="I609" s="2" t="s">
        <v>1899</v>
      </c>
    </row>
    <row r="610" ht="15.75" customHeight="1">
      <c r="A610" s="1">
        <v>45642.0</v>
      </c>
      <c r="B610" s="2" t="s">
        <v>9</v>
      </c>
      <c r="C610" s="2" t="s">
        <v>88</v>
      </c>
      <c r="D610" s="5">
        <v>842.36</v>
      </c>
      <c r="E610" s="5">
        <v>5.0</v>
      </c>
      <c r="F610" s="6">
        <v>4211.8</v>
      </c>
      <c r="G610" s="2" t="s">
        <v>1900</v>
      </c>
      <c r="H610" s="2" t="s">
        <v>1901</v>
      </c>
      <c r="I610" s="2" t="s">
        <v>1902</v>
      </c>
    </row>
    <row r="611" ht="15.75" customHeight="1">
      <c r="A611" s="1">
        <v>45643.0</v>
      </c>
      <c r="B611" s="2" t="s">
        <v>74</v>
      </c>
      <c r="C611" s="2" t="s">
        <v>662</v>
      </c>
      <c r="D611" s="5">
        <v>1771.25</v>
      </c>
      <c r="E611" s="5">
        <v>4.0</v>
      </c>
      <c r="F611" s="6">
        <v>7085.0</v>
      </c>
      <c r="G611" s="2" t="s">
        <v>1903</v>
      </c>
      <c r="H611" s="2" t="s">
        <v>1904</v>
      </c>
      <c r="I611" s="2" t="s">
        <v>1905</v>
      </c>
    </row>
    <row r="612" ht="15.75" customHeight="1">
      <c r="A612" s="1">
        <v>45643.0</v>
      </c>
      <c r="B612" s="2" t="s">
        <v>74</v>
      </c>
      <c r="C612" s="2" t="s">
        <v>92</v>
      </c>
      <c r="D612" s="5">
        <v>1865.58</v>
      </c>
      <c r="E612" s="5">
        <v>2.0</v>
      </c>
      <c r="F612" s="6">
        <v>3731.16</v>
      </c>
      <c r="G612" s="2" t="s">
        <v>1906</v>
      </c>
      <c r="H612" s="2" t="s">
        <v>1907</v>
      </c>
      <c r="I612" s="2" t="s">
        <v>1908</v>
      </c>
    </row>
    <row r="613" ht="15.75" customHeight="1">
      <c r="A613" s="1">
        <v>45643.0</v>
      </c>
      <c r="B613" s="2" t="s">
        <v>14</v>
      </c>
      <c r="C613" s="2" t="s">
        <v>161</v>
      </c>
      <c r="D613" s="5">
        <v>1615.07</v>
      </c>
      <c r="E613" s="5">
        <v>3.0</v>
      </c>
      <c r="F613" s="6">
        <v>4845.21</v>
      </c>
      <c r="G613" s="2" t="s">
        <v>1909</v>
      </c>
      <c r="H613" s="2" t="s">
        <v>1910</v>
      </c>
      <c r="I613" s="2" t="s">
        <v>1911</v>
      </c>
    </row>
    <row r="614" ht="15.75" customHeight="1">
      <c r="A614" s="1">
        <v>45643.0</v>
      </c>
      <c r="B614" s="2" t="s">
        <v>74</v>
      </c>
      <c r="C614" s="2" t="s">
        <v>386</v>
      </c>
      <c r="D614" s="5">
        <v>1627.59</v>
      </c>
      <c r="E614" s="5">
        <v>1.0</v>
      </c>
      <c r="F614" s="6">
        <v>1627.59</v>
      </c>
      <c r="G614" s="2" t="s">
        <v>1912</v>
      </c>
      <c r="H614" s="2" t="s">
        <v>1913</v>
      </c>
      <c r="I614" s="2" t="s">
        <v>1914</v>
      </c>
    </row>
    <row r="615" ht="15.75" customHeight="1">
      <c r="A615" s="1">
        <v>45643.0</v>
      </c>
      <c r="B615" s="2" t="s">
        <v>74</v>
      </c>
      <c r="C615" s="2" t="s">
        <v>427</v>
      </c>
      <c r="D615" s="5">
        <v>1700.41</v>
      </c>
      <c r="E615" s="5">
        <v>4.0</v>
      </c>
      <c r="F615" s="6">
        <v>6801.64</v>
      </c>
      <c r="G615" s="2" t="s">
        <v>1915</v>
      </c>
      <c r="H615" s="2" t="s">
        <v>1916</v>
      </c>
      <c r="I615" s="2" t="s">
        <v>1917</v>
      </c>
    </row>
    <row r="616" ht="15.75" customHeight="1">
      <c r="A616" s="1">
        <v>45643.0</v>
      </c>
      <c r="B616" s="3" t="s">
        <v>29</v>
      </c>
      <c r="C616" s="2" t="s">
        <v>151</v>
      </c>
      <c r="D616" s="5">
        <v>1035.07</v>
      </c>
      <c r="E616" s="5">
        <v>1.0</v>
      </c>
      <c r="F616" s="6">
        <v>1035.07</v>
      </c>
      <c r="G616" s="2" t="s">
        <v>1918</v>
      </c>
      <c r="H616" s="2" t="s">
        <v>1919</v>
      </c>
      <c r="I616" s="2" t="s">
        <v>1920</v>
      </c>
    </row>
    <row r="617" ht="15.75" customHeight="1">
      <c r="A617" s="1">
        <v>45643.0</v>
      </c>
      <c r="B617" s="2" t="s">
        <v>74</v>
      </c>
      <c r="C617" s="2" t="s">
        <v>396</v>
      </c>
      <c r="D617" s="5">
        <v>771.57</v>
      </c>
      <c r="E617" s="5">
        <v>5.0</v>
      </c>
      <c r="F617" s="6">
        <v>3857.85</v>
      </c>
      <c r="G617" s="2" t="s">
        <v>1921</v>
      </c>
      <c r="H617" s="2" t="s">
        <v>1922</v>
      </c>
      <c r="I617" s="2" t="s">
        <v>1923</v>
      </c>
    </row>
    <row r="618" ht="15.75" customHeight="1">
      <c r="A618" s="1">
        <v>45643.0</v>
      </c>
      <c r="B618" s="2" t="s">
        <v>14</v>
      </c>
      <c r="C618" s="2" t="s">
        <v>308</v>
      </c>
      <c r="D618" s="5">
        <v>1698.28</v>
      </c>
      <c r="E618" s="5">
        <v>3.0</v>
      </c>
      <c r="F618" s="6">
        <v>5094.84</v>
      </c>
      <c r="G618" s="2" t="s">
        <v>1924</v>
      </c>
      <c r="H618" s="2" t="s">
        <v>1925</v>
      </c>
      <c r="I618" s="2" t="s">
        <v>1926</v>
      </c>
    </row>
    <row r="619" ht="15.75" customHeight="1">
      <c r="A619" s="1">
        <v>45644.0</v>
      </c>
      <c r="B619" s="2" t="s">
        <v>14</v>
      </c>
      <c r="C619" s="2" t="s">
        <v>187</v>
      </c>
      <c r="D619" s="5">
        <v>602.68</v>
      </c>
      <c r="E619" s="5">
        <v>3.0</v>
      </c>
      <c r="F619" s="6">
        <v>1808.04</v>
      </c>
      <c r="G619" s="2" t="s">
        <v>1927</v>
      </c>
      <c r="H619" s="2" t="s">
        <v>1928</v>
      </c>
      <c r="I619" s="2" t="s">
        <v>1929</v>
      </c>
    </row>
    <row r="620" ht="15.75" customHeight="1">
      <c r="A620" s="1">
        <v>45644.0</v>
      </c>
      <c r="B620" s="2" t="s">
        <v>34</v>
      </c>
      <c r="C620" s="2" t="s">
        <v>222</v>
      </c>
      <c r="D620" s="5">
        <v>1096.28</v>
      </c>
      <c r="E620" s="5">
        <v>3.0</v>
      </c>
      <c r="F620" s="6">
        <v>3288.84</v>
      </c>
      <c r="G620" s="2" t="s">
        <v>1930</v>
      </c>
      <c r="H620" s="2" t="s">
        <v>1931</v>
      </c>
      <c r="I620" s="2" t="s">
        <v>1932</v>
      </c>
    </row>
    <row r="621" ht="15.75" customHeight="1">
      <c r="A621" s="1">
        <v>45644.0</v>
      </c>
      <c r="B621" s="2" t="s">
        <v>9</v>
      </c>
      <c r="C621" s="2" t="s">
        <v>187</v>
      </c>
      <c r="D621" s="5">
        <v>2030.62</v>
      </c>
      <c r="E621" s="5">
        <v>2.0</v>
      </c>
      <c r="F621" s="6">
        <v>4061.24</v>
      </c>
      <c r="G621" s="2" t="s">
        <v>1933</v>
      </c>
      <c r="H621" s="2" t="s">
        <v>1934</v>
      </c>
      <c r="I621" s="2" t="s">
        <v>1935</v>
      </c>
    </row>
    <row r="622" ht="15.75" customHeight="1">
      <c r="A622" s="1">
        <v>45644.0</v>
      </c>
      <c r="B622" s="2" t="s">
        <v>9</v>
      </c>
      <c r="C622" s="2" t="s">
        <v>289</v>
      </c>
      <c r="D622" s="5">
        <v>1405.61</v>
      </c>
      <c r="E622" s="5">
        <v>5.0</v>
      </c>
      <c r="F622" s="6">
        <v>7028.05</v>
      </c>
      <c r="G622" s="2" t="s">
        <v>1936</v>
      </c>
      <c r="H622" s="2" t="s">
        <v>1937</v>
      </c>
      <c r="I622" s="2" t="s">
        <v>1938</v>
      </c>
    </row>
    <row r="623" ht="15.75" customHeight="1">
      <c r="A623" s="1">
        <v>45644.0</v>
      </c>
      <c r="B623" s="2" t="s">
        <v>34</v>
      </c>
      <c r="C623" s="2" t="s">
        <v>70</v>
      </c>
      <c r="D623" s="5">
        <v>564.58</v>
      </c>
      <c r="E623" s="5">
        <v>4.0</v>
      </c>
      <c r="F623" s="6">
        <v>2258.32</v>
      </c>
      <c r="G623" s="2" t="s">
        <v>1939</v>
      </c>
      <c r="H623" s="2" t="s">
        <v>1940</v>
      </c>
      <c r="I623" s="2" t="s">
        <v>1941</v>
      </c>
    </row>
    <row r="624" ht="15.75" customHeight="1">
      <c r="A624" s="1">
        <v>45644.0</v>
      </c>
      <c r="B624" s="2" t="s">
        <v>57</v>
      </c>
      <c r="C624" s="2" t="s">
        <v>187</v>
      </c>
      <c r="D624" s="5">
        <v>2310.61</v>
      </c>
      <c r="E624" s="5">
        <v>3.0</v>
      </c>
      <c r="F624" s="6">
        <v>6931.83</v>
      </c>
      <c r="G624" s="2" t="s">
        <v>1942</v>
      </c>
      <c r="H624" s="2" t="s">
        <v>1943</v>
      </c>
      <c r="I624" s="2" t="s">
        <v>1944</v>
      </c>
    </row>
    <row r="625" ht="15.75" customHeight="1">
      <c r="A625" s="1">
        <v>45644.0</v>
      </c>
      <c r="B625" s="2" t="s">
        <v>9</v>
      </c>
      <c r="C625" s="2" t="s">
        <v>366</v>
      </c>
      <c r="D625" s="5">
        <v>2425.55</v>
      </c>
      <c r="E625" s="5">
        <v>3.0</v>
      </c>
      <c r="F625" s="6">
        <v>7276.65</v>
      </c>
      <c r="G625" s="2" t="s">
        <v>1945</v>
      </c>
      <c r="H625" s="2" t="s">
        <v>1946</v>
      </c>
      <c r="I625" s="2" t="s">
        <v>1947</v>
      </c>
    </row>
    <row r="626" ht="15.75" customHeight="1">
      <c r="A626" s="1">
        <v>45644.0</v>
      </c>
      <c r="B626" s="2" t="s">
        <v>34</v>
      </c>
      <c r="C626" s="2" t="s">
        <v>83</v>
      </c>
      <c r="D626" s="5">
        <v>944.98</v>
      </c>
      <c r="E626" s="5">
        <v>1.0</v>
      </c>
      <c r="F626" s="6">
        <v>944.98</v>
      </c>
      <c r="G626" s="2" t="s">
        <v>1948</v>
      </c>
      <c r="H626" s="2" t="s">
        <v>1949</v>
      </c>
      <c r="I626" s="2" t="s">
        <v>1950</v>
      </c>
    </row>
    <row r="627" ht="15.75" customHeight="1">
      <c r="A627" s="1">
        <v>45644.0</v>
      </c>
      <c r="B627" s="2" t="s">
        <v>14</v>
      </c>
      <c r="C627" s="2" t="s">
        <v>316</v>
      </c>
      <c r="D627" s="5">
        <v>1876.74</v>
      </c>
      <c r="E627" s="5">
        <v>3.0</v>
      </c>
      <c r="F627" s="6">
        <v>5630.22</v>
      </c>
      <c r="G627" s="2" t="s">
        <v>1951</v>
      </c>
      <c r="H627" s="2" t="s">
        <v>1952</v>
      </c>
      <c r="I627" s="2" t="s">
        <v>1953</v>
      </c>
    </row>
    <row r="628" ht="15.75" customHeight="1">
      <c r="A628" s="1">
        <v>45644.0</v>
      </c>
      <c r="B628" s="2" t="s">
        <v>9</v>
      </c>
      <c r="C628" s="2" t="s">
        <v>187</v>
      </c>
      <c r="D628" s="5">
        <v>2031.79</v>
      </c>
      <c r="E628" s="5">
        <v>5.0</v>
      </c>
      <c r="F628" s="6">
        <v>10158.95</v>
      </c>
      <c r="G628" s="2" t="s">
        <v>1954</v>
      </c>
      <c r="H628" s="2" t="s">
        <v>1955</v>
      </c>
      <c r="I628" s="2" t="s">
        <v>1956</v>
      </c>
    </row>
    <row r="629" ht="15.75" customHeight="1">
      <c r="A629" s="1">
        <v>45644.0</v>
      </c>
      <c r="B629" s="2" t="s">
        <v>57</v>
      </c>
      <c r="C629" s="2" t="s">
        <v>183</v>
      </c>
      <c r="D629" s="5">
        <v>1031.51</v>
      </c>
      <c r="E629" s="5">
        <v>1.0</v>
      </c>
      <c r="F629" s="6">
        <v>1031.51</v>
      </c>
      <c r="G629" s="2" t="s">
        <v>1957</v>
      </c>
      <c r="H629" s="2" t="s">
        <v>1958</v>
      </c>
      <c r="I629" s="2" t="s">
        <v>1959</v>
      </c>
    </row>
    <row r="630" ht="15.75" customHeight="1">
      <c r="A630" s="1">
        <v>45644.0</v>
      </c>
      <c r="B630" s="2" t="s">
        <v>74</v>
      </c>
      <c r="C630" s="2" t="s">
        <v>215</v>
      </c>
      <c r="D630" s="5">
        <v>879.04</v>
      </c>
      <c r="E630" s="5">
        <v>2.0</v>
      </c>
      <c r="F630" s="6">
        <v>1758.08</v>
      </c>
      <c r="G630" s="2" t="s">
        <v>1960</v>
      </c>
      <c r="H630" s="2" t="s">
        <v>1961</v>
      </c>
      <c r="I630" s="2" t="s">
        <v>1962</v>
      </c>
    </row>
    <row r="631" ht="15.75" customHeight="1">
      <c r="A631" s="1">
        <v>45644.0</v>
      </c>
      <c r="B631" s="2" t="s">
        <v>34</v>
      </c>
      <c r="C631" s="2" t="s">
        <v>15</v>
      </c>
      <c r="D631" s="5">
        <v>292.99</v>
      </c>
      <c r="E631" s="5">
        <v>1.0</v>
      </c>
      <c r="F631" s="6">
        <v>292.99</v>
      </c>
      <c r="G631" s="2" t="s">
        <v>1963</v>
      </c>
      <c r="H631" s="2" t="s">
        <v>1964</v>
      </c>
      <c r="I631" s="2" t="s">
        <v>1965</v>
      </c>
    </row>
    <row r="632" ht="15.75" customHeight="1">
      <c r="A632" s="1">
        <v>45645.0</v>
      </c>
      <c r="B632" s="2" t="s">
        <v>14</v>
      </c>
      <c r="C632" s="2" t="s">
        <v>187</v>
      </c>
      <c r="D632" s="5">
        <v>1575.85</v>
      </c>
      <c r="E632" s="5">
        <v>2.0</v>
      </c>
      <c r="F632" s="6">
        <v>3151.7</v>
      </c>
      <c r="G632" s="2" t="s">
        <v>1966</v>
      </c>
      <c r="H632" s="2" t="s">
        <v>1967</v>
      </c>
      <c r="I632" s="2" t="s">
        <v>1968</v>
      </c>
    </row>
    <row r="633" ht="15.75" customHeight="1">
      <c r="A633" s="1">
        <v>45645.0</v>
      </c>
      <c r="B633" s="2" t="s">
        <v>34</v>
      </c>
      <c r="C633" s="2" t="s">
        <v>130</v>
      </c>
      <c r="D633" s="5">
        <v>720.31</v>
      </c>
      <c r="E633" s="5">
        <v>3.0</v>
      </c>
      <c r="F633" s="6">
        <v>2160.93</v>
      </c>
      <c r="G633" s="2" t="s">
        <v>1969</v>
      </c>
      <c r="H633" s="2" t="s">
        <v>1970</v>
      </c>
      <c r="I633" s="2" t="s">
        <v>1971</v>
      </c>
    </row>
    <row r="634" ht="15.75" customHeight="1">
      <c r="A634" s="1">
        <v>45645.0</v>
      </c>
      <c r="B634" s="2" t="s">
        <v>34</v>
      </c>
      <c r="C634" s="2" t="s">
        <v>70</v>
      </c>
      <c r="D634" s="5">
        <v>2309.76</v>
      </c>
      <c r="E634" s="5">
        <v>5.0</v>
      </c>
      <c r="F634" s="6">
        <v>11548.8</v>
      </c>
      <c r="G634" s="2" t="s">
        <v>1972</v>
      </c>
      <c r="H634" s="2" t="s">
        <v>1973</v>
      </c>
      <c r="I634" s="2" t="s">
        <v>1974</v>
      </c>
    </row>
    <row r="635" ht="15.75" customHeight="1">
      <c r="A635" s="1">
        <v>45645.0</v>
      </c>
      <c r="B635" s="2" t="s">
        <v>34</v>
      </c>
      <c r="C635" s="2" t="s">
        <v>366</v>
      </c>
      <c r="D635" s="5">
        <v>633.29</v>
      </c>
      <c r="E635" s="5">
        <v>1.0</v>
      </c>
      <c r="F635" s="6">
        <v>633.29</v>
      </c>
      <c r="G635" s="2" t="s">
        <v>1975</v>
      </c>
      <c r="H635" s="2" t="s">
        <v>1976</v>
      </c>
      <c r="I635" s="2" t="s">
        <v>1977</v>
      </c>
    </row>
    <row r="636" ht="15.75" customHeight="1">
      <c r="A636" s="1">
        <v>45645.0</v>
      </c>
      <c r="B636" s="2" t="s">
        <v>34</v>
      </c>
      <c r="C636" s="2" t="s">
        <v>70</v>
      </c>
      <c r="D636" s="5">
        <v>530.94</v>
      </c>
      <c r="E636" s="5">
        <v>5.0</v>
      </c>
      <c r="F636" s="6">
        <v>2654.7</v>
      </c>
      <c r="G636" s="2" t="s">
        <v>1978</v>
      </c>
      <c r="H636" s="2" t="s">
        <v>1979</v>
      </c>
      <c r="I636" s="2" t="s">
        <v>1980</v>
      </c>
    </row>
    <row r="637" ht="15.75" customHeight="1">
      <c r="A637" s="1">
        <v>45645.0</v>
      </c>
      <c r="B637" s="2" t="s">
        <v>34</v>
      </c>
      <c r="C637" s="2" t="s">
        <v>10</v>
      </c>
      <c r="D637" s="5">
        <v>127.35</v>
      </c>
      <c r="E637" s="5">
        <v>1.0</v>
      </c>
      <c r="F637" s="6">
        <v>127.35</v>
      </c>
      <c r="G637" s="2" t="s">
        <v>1981</v>
      </c>
      <c r="H637" s="2" t="s">
        <v>1982</v>
      </c>
      <c r="I637" s="2" t="s">
        <v>1983</v>
      </c>
    </row>
    <row r="638" ht="15.75" customHeight="1">
      <c r="A638" s="1">
        <v>45645.0</v>
      </c>
      <c r="B638" s="2" t="s">
        <v>9</v>
      </c>
      <c r="C638" s="2" t="s">
        <v>370</v>
      </c>
      <c r="D638" s="5">
        <v>1008.28</v>
      </c>
      <c r="E638" s="5">
        <v>5.0</v>
      </c>
      <c r="F638" s="6">
        <v>5041.4</v>
      </c>
      <c r="G638" s="2" t="s">
        <v>1984</v>
      </c>
      <c r="H638" s="2" t="s">
        <v>1985</v>
      </c>
      <c r="I638" s="2" t="s">
        <v>1986</v>
      </c>
    </row>
    <row r="639" ht="15.75" customHeight="1">
      <c r="A639" s="1">
        <v>45645.0</v>
      </c>
      <c r="B639" s="2" t="s">
        <v>14</v>
      </c>
      <c r="C639" s="2" t="s">
        <v>115</v>
      </c>
      <c r="D639" s="5">
        <v>1900.01</v>
      </c>
      <c r="E639" s="5">
        <v>5.0</v>
      </c>
      <c r="F639" s="6">
        <v>9500.05</v>
      </c>
      <c r="G639" s="2" t="s">
        <v>1987</v>
      </c>
      <c r="H639" s="2" t="s">
        <v>1988</v>
      </c>
      <c r="I639" s="2" t="s">
        <v>1989</v>
      </c>
    </row>
    <row r="640" ht="15.75" customHeight="1">
      <c r="A640" s="1">
        <v>45645.0</v>
      </c>
      <c r="B640" s="2" t="s">
        <v>74</v>
      </c>
      <c r="C640" s="2" t="s">
        <v>179</v>
      </c>
      <c r="D640" s="5">
        <v>1254.96</v>
      </c>
      <c r="E640" s="5">
        <v>1.0</v>
      </c>
      <c r="F640" s="6">
        <v>1254.96</v>
      </c>
      <c r="G640" s="2" t="s">
        <v>1990</v>
      </c>
      <c r="H640" s="2" t="s">
        <v>1991</v>
      </c>
      <c r="I640" s="2" t="s">
        <v>1992</v>
      </c>
    </row>
    <row r="641" ht="15.75" customHeight="1">
      <c r="A641" s="1">
        <v>45645.0</v>
      </c>
      <c r="B641" s="2" t="s">
        <v>9</v>
      </c>
      <c r="C641" s="2" t="s">
        <v>115</v>
      </c>
      <c r="D641" s="5">
        <v>432.18</v>
      </c>
      <c r="E641" s="5">
        <v>1.0</v>
      </c>
      <c r="F641" s="6">
        <v>432.18</v>
      </c>
      <c r="G641" s="2" t="s">
        <v>1993</v>
      </c>
      <c r="H641" s="2" t="s">
        <v>1994</v>
      </c>
      <c r="I641" s="2" t="s">
        <v>1995</v>
      </c>
    </row>
    <row r="642" ht="15.75" customHeight="1">
      <c r="A642" s="1">
        <v>45646.0</v>
      </c>
      <c r="B642" s="2" t="s">
        <v>74</v>
      </c>
      <c r="C642" s="2" t="s">
        <v>215</v>
      </c>
      <c r="D642" s="5">
        <v>2373.12</v>
      </c>
      <c r="E642" s="5">
        <v>2.0</v>
      </c>
      <c r="F642" s="6">
        <v>4746.24</v>
      </c>
      <c r="G642" s="2" t="s">
        <v>1996</v>
      </c>
      <c r="H642" s="2" t="s">
        <v>1997</v>
      </c>
      <c r="I642" s="2" t="s">
        <v>1998</v>
      </c>
    </row>
    <row r="643" ht="15.75" customHeight="1">
      <c r="A643" s="1">
        <v>45646.0</v>
      </c>
      <c r="B643" s="2" t="s">
        <v>34</v>
      </c>
      <c r="C643" s="2" t="s">
        <v>83</v>
      </c>
      <c r="D643" s="5">
        <v>290.07</v>
      </c>
      <c r="E643" s="5">
        <v>4.0</v>
      </c>
      <c r="F643" s="6">
        <v>1160.28</v>
      </c>
      <c r="G643" s="2" t="s">
        <v>1999</v>
      </c>
      <c r="H643" s="2" t="s">
        <v>2000</v>
      </c>
      <c r="I643" s="2" t="s">
        <v>2001</v>
      </c>
    </row>
    <row r="644" ht="15.75" customHeight="1">
      <c r="A644" s="1">
        <v>45646.0</v>
      </c>
      <c r="B644" s="2" t="s">
        <v>9</v>
      </c>
      <c r="C644" s="2" t="s">
        <v>187</v>
      </c>
      <c r="D644" s="5">
        <v>841.77</v>
      </c>
      <c r="E644" s="5">
        <v>1.0</v>
      </c>
      <c r="F644" s="6">
        <v>841.77</v>
      </c>
      <c r="G644" s="2" t="s">
        <v>2002</v>
      </c>
      <c r="H644" s="2" t="s">
        <v>2003</v>
      </c>
      <c r="I644" s="2" t="s">
        <v>2004</v>
      </c>
    </row>
    <row r="645" ht="15.75" customHeight="1">
      <c r="A645" s="1">
        <v>45646.0</v>
      </c>
      <c r="B645" s="2" t="s">
        <v>9</v>
      </c>
      <c r="C645" s="2" t="s">
        <v>119</v>
      </c>
      <c r="D645" s="5">
        <v>1501.95</v>
      </c>
      <c r="E645" s="5">
        <v>2.0</v>
      </c>
      <c r="F645" s="6">
        <v>3003.9</v>
      </c>
      <c r="G645" s="2" t="s">
        <v>2005</v>
      </c>
      <c r="H645" s="2" t="s">
        <v>2006</v>
      </c>
      <c r="I645" s="2" t="s">
        <v>2007</v>
      </c>
    </row>
    <row r="646" ht="15.75" customHeight="1">
      <c r="A646" s="1">
        <v>45646.0</v>
      </c>
      <c r="B646" s="2" t="s">
        <v>34</v>
      </c>
      <c r="C646" s="2" t="s">
        <v>662</v>
      </c>
      <c r="D646" s="5">
        <v>769.01</v>
      </c>
      <c r="E646" s="5">
        <v>5.0</v>
      </c>
      <c r="F646" s="6">
        <v>3845.05</v>
      </c>
      <c r="G646" s="2" t="s">
        <v>2008</v>
      </c>
      <c r="H646" s="2" t="s">
        <v>2009</v>
      </c>
      <c r="I646" s="2" t="s">
        <v>2010</v>
      </c>
    </row>
    <row r="647" ht="15.75" customHeight="1">
      <c r="A647" s="1">
        <v>45646.0</v>
      </c>
      <c r="B647" s="3" t="s">
        <v>29</v>
      </c>
      <c r="C647" s="2" t="s">
        <v>161</v>
      </c>
      <c r="D647" s="5">
        <v>1507.69</v>
      </c>
      <c r="E647" s="5">
        <v>5.0</v>
      </c>
      <c r="F647" s="6">
        <v>7538.45</v>
      </c>
      <c r="G647" s="2" t="s">
        <v>2011</v>
      </c>
      <c r="H647" s="2" t="s">
        <v>2012</v>
      </c>
      <c r="I647" s="2" t="s">
        <v>2013</v>
      </c>
    </row>
    <row r="648" ht="15.75" customHeight="1">
      <c r="A648" s="1">
        <v>45646.0</v>
      </c>
      <c r="B648" s="2" t="s">
        <v>9</v>
      </c>
      <c r="C648" s="2" t="s">
        <v>179</v>
      </c>
      <c r="D648" s="5">
        <v>2086.91</v>
      </c>
      <c r="E648" s="5">
        <v>5.0</v>
      </c>
      <c r="F648" s="6">
        <v>10434.55</v>
      </c>
      <c r="G648" s="2" t="s">
        <v>2014</v>
      </c>
      <c r="H648" s="2" t="s">
        <v>2015</v>
      </c>
      <c r="I648" s="2" t="s">
        <v>2016</v>
      </c>
    </row>
    <row r="649" ht="15.75" customHeight="1">
      <c r="A649" s="1">
        <v>45646.0</v>
      </c>
      <c r="B649" s="3" t="s">
        <v>29</v>
      </c>
      <c r="C649" s="2" t="s">
        <v>396</v>
      </c>
      <c r="D649" s="5">
        <v>1092.96</v>
      </c>
      <c r="E649" s="5">
        <v>4.0</v>
      </c>
      <c r="F649" s="6">
        <v>4371.84</v>
      </c>
      <c r="G649" s="2" t="s">
        <v>2017</v>
      </c>
      <c r="H649" s="2" t="s">
        <v>2018</v>
      </c>
      <c r="I649" s="2" t="s">
        <v>2019</v>
      </c>
    </row>
    <row r="650" ht="15.75" customHeight="1">
      <c r="A650" s="1">
        <v>45646.0</v>
      </c>
      <c r="B650" s="2" t="s">
        <v>57</v>
      </c>
      <c r="C650" s="2" t="s">
        <v>137</v>
      </c>
      <c r="D650" s="5">
        <v>2114.97</v>
      </c>
      <c r="E650" s="5">
        <v>1.0</v>
      </c>
      <c r="F650" s="6">
        <v>2114.97</v>
      </c>
      <c r="G650" s="2" t="s">
        <v>2020</v>
      </c>
      <c r="H650" s="2" t="s">
        <v>2021</v>
      </c>
      <c r="I650" s="2" t="s">
        <v>2022</v>
      </c>
    </row>
    <row r="651" ht="15.75" customHeight="1">
      <c r="A651" s="1">
        <v>45646.0</v>
      </c>
      <c r="B651" s="2" t="s">
        <v>14</v>
      </c>
      <c r="C651" s="2" t="s">
        <v>370</v>
      </c>
      <c r="D651" s="5">
        <v>2077.18</v>
      </c>
      <c r="E651" s="5">
        <v>4.0</v>
      </c>
      <c r="F651" s="6">
        <v>8308.72</v>
      </c>
      <c r="G651" s="2" t="s">
        <v>2023</v>
      </c>
      <c r="H651" s="2" t="s">
        <v>2024</v>
      </c>
      <c r="I651" s="2" t="s">
        <v>2025</v>
      </c>
    </row>
    <row r="652" ht="15.75" customHeight="1">
      <c r="A652" s="1">
        <v>45647.0</v>
      </c>
      <c r="B652" s="2" t="s">
        <v>34</v>
      </c>
      <c r="C652" s="2" t="s">
        <v>662</v>
      </c>
      <c r="D652" s="5">
        <v>1547.71</v>
      </c>
      <c r="E652" s="5">
        <v>5.0</v>
      </c>
      <c r="F652" s="6">
        <v>7738.55</v>
      </c>
      <c r="G652" s="2" t="s">
        <v>2026</v>
      </c>
      <c r="H652" s="2" t="s">
        <v>2027</v>
      </c>
      <c r="I652" s="2" t="s">
        <v>2028</v>
      </c>
    </row>
    <row r="653" ht="15.75" customHeight="1">
      <c r="A653" s="1">
        <v>45647.0</v>
      </c>
      <c r="B653" s="2" t="s">
        <v>9</v>
      </c>
      <c r="C653" s="2" t="s">
        <v>161</v>
      </c>
      <c r="D653" s="5">
        <v>1944.73</v>
      </c>
      <c r="E653" s="5">
        <v>4.0</v>
      </c>
      <c r="F653" s="6">
        <v>7778.92</v>
      </c>
      <c r="G653" s="2" t="s">
        <v>2029</v>
      </c>
      <c r="H653" s="2" t="s">
        <v>2030</v>
      </c>
      <c r="I653" s="2" t="s">
        <v>2031</v>
      </c>
    </row>
    <row r="654" ht="15.75" customHeight="1">
      <c r="A654" s="1">
        <v>45647.0</v>
      </c>
      <c r="B654" s="2" t="s">
        <v>74</v>
      </c>
      <c r="C654" s="2" t="s">
        <v>119</v>
      </c>
      <c r="D654" s="5">
        <v>1459.53</v>
      </c>
      <c r="E654" s="5">
        <v>1.0</v>
      </c>
      <c r="F654" s="6">
        <v>1459.53</v>
      </c>
      <c r="G654" s="2" t="s">
        <v>2032</v>
      </c>
      <c r="H654" s="2" t="s">
        <v>2033</v>
      </c>
      <c r="I654" s="2" t="s">
        <v>2034</v>
      </c>
    </row>
    <row r="655" ht="15.75" customHeight="1">
      <c r="A655" s="1">
        <v>45647.0</v>
      </c>
      <c r="B655" s="2" t="s">
        <v>9</v>
      </c>
      <c r="C655" s="2" t="s">
        <v>386</v>
      </c>
      <c r="D655" s="5">
        <v>1019.73</v>
      </c>
      <c r="E655" s="5">
        <v>2.0</v>
      </c>
      <c r="F655" s="6">
        <v>2039.46</v>
      </c>
      <c r="G655" s="2" t="s">
        <v>2035</v>
      </c>
      <c r="H655" s="2" t="s">
        <v>2036</v>
      </c>
      <c r="I655" s="2" t="s">
        <v>2037</v>
      </c>
    </row>
    <row r="656" ht="15.75" customHeight="1">
      <c r="A656" s="1">
        <v>45647.0</v>
      </c>
      <c r="B656" s="3" t="s">
        <v>29</v>
      </c>
      <c r="C656" s="2" t="s">
        <v>269</v>
      </c>
      <c r="D656" s="5">
        <v>1670.11</v>
      </c>
      <c r="E656" s="5">
        <v>3.0</v>
      </c>
      <c r="F656" s="6">
        <v>5010.33</v>
      </c>
      <c r="G656" s="2" t="s">
        <v>2038</v>
      </c>
      <c r="H656" s="2" t="s">
        <v>2039</v>
      </c>
      <c r="I656" s="2" t="s">
        <v>2040</v>
      </c>
    </row>
    <row r="657" ht="15.75" customHeight="1">
      <c r="A657" s="1">
        <v>45647.0</v>
      </c>
      <c r="B657" s="2" t="s">
        <v>74</v>
      </c>
      <c r="C657" s="2" t="s">
        <v>62</v>
      </c>
      <c r="D657" s="5">
        <v>2008.78</v>
      </c>
      <c r="E657" s="5">
        <v>5.0</v>
      </c>
      <c r="F657" s="6">
        <v>10043.9</v>
      </c>
      <c r="G657" s="2" t="s">
        <v>2041</v>
      </c>
      <c r="H657" s="2" t="s">
        <v>2042</v>
      </c>
      <c r="I657" s="2" t="s">
        <v>2043</v>
      </c>
    </row>
    <row r="658" ht="15.75" customHeight="1">
      <c r="A658" s="1">
        <v>45647.0</v>
      </c>
      <c r="B658" s="3" t="s">
        <v>29</v>
      </c>
      <c r="C658" s="2" t="s">
        <v>130</v>
      </c>
      <c r="D658" s="5">
        <v>2461.26</v>
      </c>
      <c r="E658" s="5">
        <v>3.0</v>
      </c>
      <c r="F658" s="6">
        <v>7383.78</v>
      </c>
      <c r="G658" s="2" t="s">
        <v>2044</v>
      </c>
      <c r="H658" s="2" t="s">
        <v>2045</v>
      </c>
      <c r="I658" s="2" t="s">
        <v>2046</v>
      </c>
    </row>
    <row r="659" ht="15.75" customHeight="1">
      <c r="A659" s="1">
        <v>45647.0</v>
      </c>
      <c r="B659" s="2" t="s">
        <v>57</v>
      </c>
      <c r="C659" s="2" t="s">
        <v>396</v>
      </c>
      <c r="D659" s="5">
        <v>2224.42</v>
      </c>
      <c r="E659" s="5">
        <v>4.0</v>
      </c>
      <c r="F659" s="6">
        <v>8897.68</v>
      </c>
      <c r="G659" s="2" t="s">
        <v>2047</v>
      </c>
      <c r="H659" s="2" t="s">
        <v>2048</v>
      </c>
      <c r="I659" s="2" t="s">
        <v>2049</v>
      </c>
    </row>
    <row r="660" ht="15.75" customHeight="1">
      <c r="A660" s="1">
        <v>45647.0</v>
      </c>
      <c r="B660" s="2" t="s">
        <v>74</v>
      </c>
      <c r="C660" s="2" t="s">
        <v>123</v>
      </c>
      <c r="D660" s="5">
        <v>1979.07</v>
      </c>
      <c r="E660" s="5">
        <v>1.0</v>
      </c>
      <c r="F660" s="6">
        <v>1979.07</v>
      </c>
      <c r="G660" s="2" t="s">
        <v>2050</v>
      </c>
      <c r="H660" s="2" t="s">
        <v>2051</v>
      </c>
      <c r="I660" s="2" t="s">
        <v>2052</v>
      </c>
    </row>
    <row r="661" ht="15.75" customHeight="1">
      <c r="A661" s="1">
        <v>45647.0</v>
      </c>
      <c r="B661" s="2" t="s">
        <v>57</v>
      </c>
      <c r="C661" s="2" t="s">
        <v>88</v>
      </c>
      <c r="D661" s="5">
        <v>1397.8</v>
      </c>
      <c r="E661" s="5">
        <v>2.0</v>
      </c>
      <c r="F661" s="6">
        <v>2795.6</v>
      </c>
      <c r="G661" s="2" t="s">
        <v>2053</v>
      </c>
      <c r="H661" s="2" t="s">
        <v>2054</v>
      </c>
      <c r="I661" s="2" t="s">
        <v>2055</v>
      </c>
    </row>
    <row r="662" ht="15.75" customHeight="1">
      <c r="A662" s="1">
        <v>45648.0</v>
      </c>
      <c r="B662" s="2" t="s">
        <v>57</v>
      </c>
      <c r="C662" s="2" t="s">
        <v>92</v>
      </c>
      <c r="D662" s="5">
        <v>1636.65</v>
      </c>
      <c r="E662" s="5">
        <v>2.0</v>
      </c>
      <c r="F662" s="6">
        <v>3273.3</v>
      </c>
      <c r="G662" s="2" t="s">
        <v>2056</v>
      </c>
      <c r="H662" s="2" t="s">
        <v>2057</v>
      </c>
      <c r="I662" s="2" t="s">
        <v>2058</v>
      </c>
    </row>
    <row r="663" ht="15.75" customHeight="1">
      <c r="A663" s="1">
        <v>45648.0</v>
      </c>
      <c r="B663" s="2" t="s">
        <v>74</v>
      </c>
      <c r="C663" s="2" t="s">
        <v>22</v>
      </c>
      <c r="D663" s="5">
        <v>2186.25</v>
      </c>
      <c r="E663" s="5">
        <v>5.0</v>
      </c>
      <c r="F663" s="6">
        <v>10931.25</v>
      </c>
      <c r="G663" s="2" t="s">
        <v>2059</v>
      </c>
      <c r="H663" s="2" t="s">
        <v>2060</v>
      </c>
      <c r="I663" s="2" t="s">
        <v>2061</v>
      </c>
    </row>
    <row r="664" ht="15.75" customHeight="1">
      <c r="A664" s="1">
        <v>45648.0</v>
      </c>
      <c r="B664" s="2" t="s">
        <v>9</v>
      </c>
      <c r="C664" s="2" t="s">
        <v>83</v>
      </c>
      <c r="D664" s="5">
        <v>1567.55</v>
      </c>
      <c r="E664" s="5">
        <v>3.0</v>
      </c>
      <c r="F664" s="6">
        <v>4702.65</v>
      </c>
      <c r="G664" s="2" t="s">
        <v>2062</v>
      </c>
      <c r="H664" s="2" t="s">
        <v>2063</v>
      </c>
      <c r="I664" s="2" t="s">
        <v>2064</v>
      </c>
    </row>
    <row r="665" ht="15.75" customHeight="1">
      <c r="A665" s="1">
        <v>45648.0</v>
      </c>
      <c r="B665" s="2" t="s">
        <v>9</v>
      </c>
      <c r="C665" s="2" t="s">
        <v>187</v>
      </c>
      <c r="D665" s="5">
        <v>1717.67</v>
      </c>
      <c r="E665" s="5">
        <v>4.0</v>
      </c>
      <c r="F665" s="6">
        <v>6870.68</v>
      </c>
      <c r="G665" s="2" t="s">
        <v>2065</v>
      </c>
      <c r="H665" s="2" t="s">
        <v>2066</v>
      </c>
      <c r="I665" s="2" t="s">
        <v>2067</v>
      </c>
    </row>
    <row r="666" ht="15.75" customHeight="1">
      <c r="A666" s="1">
        <v>45648.0</v>
      </c>
      <c r="B666" s="2" t="s">
        <v>34</v>
      </c>
      <c r="C666" s="2" t="s">
        <v>183</v>
      </c>
      <c r="D666" s="5">
        <v>778.63</v>
      </c>
      <c r="E666" s="5">
        <v>1.0</v>
      </c>
      <c r="F666" s="6">
        <v>778.63</v>
      </c>
      <c r="G666" s="2" t="s">
        <v>2068</v>
      </c>
      <c r="H666" s="2" t="s">
        <v>2069</v>
      </c>
      <c r="I666" s="2" t="s">
        <v>2070</v>
      </c>
    </row>
    <row r="667" ht="15.75" customHeight="1">
      <c r="A667" s="1">
        <v>45648.0</v>
      </c>
      <c r="B667" s="2" t="s">
        <v>9</v>
      </c>
      <c r="C667" s="2" t="s">
        <v>230</v>
      </c>
      <c r="D667" s="5">
        <v>2251.92</v>
      </c>
      <c r="E667" s="5">
        <v>5.0</v>
      </c>
      <c r="F667" s="6">
        <v>11259.6</v>
      </c>
      <c r="G667" s="2" t="s">
        <v>2071</v>
      </c>
      <c r="H667" s="2" t="s">
        <v>2072</v>
      </c>
      <c r="I667" s="2" t="s">
        <v>2073</v>
      </c>
    </row>
    <row r="668" ht="15.75" customHeight="1">
      <c r="A668" s="1">
        <v>45648.0</v>
      </c>
      <c r="B668" s="2" t="s">
        <v>74</v>
      </c>
      <c r="C668" s="2" t="s">
        <v>183</v>
      </c>
      <c r="D668" s="5">
        <v>1770.14</v>
      </c>
      <c r="E668" s="5">
        <v>1.0</v>
      </c>
      <c r="F668" s="6">
        <v>1770.14</v>
      </c>
      <c r="G668" s="2" t="s">
        <v>2074</v>
      </c>
      <c r="H668" s="2" t="s">
        <v>2075</v>
      </c>
      <c r="I668" s="2" t="s">
        <v>2076</v>
      </c>
    </row>
    <row r="669" ht="15.75" customHeight="1">
      <c r="A669" s="1">
        <v>45648.0</v>
      </c>
      <c r="B669" s="2" t="s">
        <v>9</v>
      </c>
      <c r="C669" s="2" t="s">
        <v>70</v>
      </c>
      <c r="D669" s="5">
        <v>489.63</v>
      </c>
      <c r="E669" s="5">
        <v>1.0</v>
      </c>
      <c r="F669" s="6">
        <v>489.63</v>
      </c>
      <c r="G669" s="2" t="s">
        <v>2077</v>
      </c>
      <c r="H669" s="2" t="s">
        <v>2078</v>
      </c>
      <c r="I669" s="2" t="s">
        <v>2079</v>
      </c>
    </row>
    <row r="670" ht="15.75" customHeight="1">
      <c r="A670" s="1">
        <v>45649.0</v>
      </c>
      <c r="B670" s="2" t="s">
        <v>57</v>
      </c>
      <c r="C670" s="2" t="s">
        <v>66</v>
      </c>
      <c r="D670" s="5">
        <v>625.26</v>
      </c>
      <c r="E670" s="5">
        <v>5.0</v>
      </c>
      <c r="F670" s="6">
        <v>3126.3</v>
      </c>
      <c r="G670" s="2" t="s">
        <v>2080</v>
      </c>
      <c r="H670" s="2" t="s">
        <v>2081</v>
      </c>
      <c r="I670" s="2" t="s">
        <v>2082</v>
      </c>
    </row>
    <row r="671" ht="15.75" customHeight="1">
      <c r="A671" s="1">
        <v>45649.0</v>
      </c>
      <c r="B671" s="2" t="s">
        <v>9</v>
      </c>
      <c r="C671" s="2" t="s">
        <v>316</v>
      </c>
      <c r="D671" s="5">
        <v>784.39</v>
      </c>
      <c r="E671" s="5">
        <v>1.0</v>
      </c>
      <c r="F671" s="6">
        <v>784.39</v>
      </c>
      <c r="G671" s="2" t="s">
        <v>2083</v>
      </c>
      <c r="H671" s="2" t="s">
        <v>2084</v>
      </c>
      <c r="I671" s="2" t="s">
        <v>2085</v>
      </c>
    </row>
    <row r="672" ht="15.75" customHeight="1">
      <c r="A672" s="1">
        <v>45649.0</v>
      </c>
      <c r="B672" s="2" t="s">
        <v>57</v>
      </c>
      <c r="C672" s="2" t="s">
        <v>289</v>
      </c>
      <c r="D672" s="5">
        <v>1719.53</v>
      </c>
      <c r="E672" s="5">
        <v>2.0</v>
      </c>
      <c r="F672" s="6">
        <v>3439.06</v>
      </c>
      <c r="G672" s="2" t="s">
        <v>2086</v>
      </c>
      <c r="H672" s="2" t="s">
        <v>2087</v>
      </c>
      <c r="I672" s="2" t="s">
        <v>2088</v>
      </c>
    </row>
    <row r="673" ht="15.75" customHeight="1">
      <c r="A673" s="1">
        <v>45649.0</v>
      </c>
      <c r="B673" s="2" t="s">
        <v>14</v>
      </c>
      <c r="C673" s="2" t="s">
        <v>58</v>
      </c>
      <c r="D673" s="5">
        <v>861.73</v>
      </c>
      <c r="E673" s="5">
        <v>5.0</v>
      </c>
      <c r="F673" s="6">
        <v>4308.65</v>
      </c>
      <c r="G673" s="2" t="s">
        <v>2089</v>
      </c>
      <c r="H673" s="2" t="s">
        <v>2090</v>
      </c>
      <c r="I673" s="2" t="s">
        <v>2091</v>
      </c>
    </row>
    <row r="674" ht="15.75" customHeight="1">
      <c r="A674" s="1">
        <v>45649.0</v>
      </c>
      <c r="B674" s="2" t="s">
        <v>14</v>
      </c>
      <c r="C674" s="2" t="s">
        <v>252</v>
      </c>
      <c r="D674" s="5">
        <v>988.8</v>
      </c>
      <c r="E674" s="5">
        <v>5.0</v>
      </c>
      <c r="F674" s="6">
        <v>4944.0</v>
      </c>
      <c r="G674" s="2" t="s">
        <v>2092</v>
      </c>
      <c r="H674" s="2" t="s">
        <v>2093</v>
      </c>
      <c r="I674" s="2" t="s">
        <v>2094</v>
      </c>
    </row>
    <row r="675" ht="15.75" customHeight="1">
      <c r="A675" s="1">
        <v>45649.0</v>
      </c>
      <c r="B675" s="2" t="s">
        <v>9</v>
      </c>
      <c r="C675" s="2" t="s">
        <v>308</v>
      </c>
      <c r="D675" s="5">
        <v>1696.63</v>
      </c>
      <c r="E675" s="5">
        <v>4.0</v>
      </c>
      <c r="F675" s="6">
        <v>6786.52</v>
      </c>
      <c r="G675" s="2" t="s">
        <v>2095</v>
      </c>
      <c r="H675" s="2" t="s">
        <v>2096</v>
      </c>
      <c r="I675" s="2" t="s">
        <v>2097</v>
      </c>
    </row>
    <row r="676" ht="15.75" customHeight="1">
      <c r="A676" s="1">
        <v>45649.0</v>
      </c>
      <c r="B676" s="3" t="s">
        <v>29</v>
      </c>
      <c r="C676" s="2" t="s">
        <v>88</v>
      </c>
      <c r="D676" s="5">
        <v>1663.22</v>
      </c>
      <c r="E676" s="5">
        <v>5.0</v>
      </c>
      <c r="F676" s="6">
        <v>8316.1</v>
      </c>
      <c r="G676" s="2" t="s">
        <v>2098</v>
      </c>
      <c r="H676" s="2" t="s">
        <v>2099</v>
      </c>
      <c r="I676" s="2" t="s">
        <v>2100</v>
      </c>
    </row>
    <row r="677" ht="15.75" customHeight="1">
      <c r="A677" s="1">
        <v>45649.0</v>
      </c>
      <c r="B677" s="2" t="s">
        <v>9</v>
      </c>
      <c r="C677" s="2" t="s">
        <v>269</v>
      </c>
      <c r="D677" s="5">
        <v>1991.97</v>
      </c>
      <c r="E677" s="5">
        <v>3.0</v>
      </c>
      <c r="F677" s="6">
        <v>5975.91</v>
      </c>
      <c r="G677" s="2" t="s">
        <v>2101</v>
      </c>
      <c r="H677" s="2" t="s">
        <v>2102</v>
      </c>
      <c r="I677" s="2" t="s">
        <v>2103</v>
      </c>
    </row>
    <row r="678" ht="15.75" customHeight="1">
      <c r="A678" s="1">
        <v>45649.0</v>
      </c>
      <c r="B678" s="3" t="s">
        <v>29</v>
      </c>
      <c r="C678" s="2" t="s">
        <v>83</v>
      </c>
      <c r="D678" s="5">
        <v>1918.04</v>
      </c>
      <c r="E678" s="5">
        <v>5.0</v>
      </c>
      <c r="F678" s="6">
        <v>9590.2</v>
      </c>
      <c r="G678" s="2" t="s">
        <v>2104</v>
      </c>
      <c r="H678" s="2" t="s">
        <v>2105</v>
      </c>
      <c r="I678" s="2" t="s">
        <v>2106</v>
      </c>
    </row>
    <row r="679" ht="15.75" customHeight="1">
      <c r="A679" s="1">
        <v>45649.0</v>
      </c>
      <c r="B679" s="2" t="s">
        <v>74</v>
      </c>
      <c r="C679" s="2" t="s">
        <v>35</v>
      </c>
      <c r="D679" s="5">
        <v>2115.54</v>
      </c>
      <c r="E679" s="5">
        <v>5.0</v>
      </c>
      <c r="F679" s="6">
        <v>10577.7</v>
      </c>
      <c r="G679" s="2" t="s">
        <v>2107</v>
      </c>
      <c r="H679" s="2" t="s">
        <v>2108</v>
      </c>
      <c r="I679" s="2" t="s">
        <v>2109</v>
      </c>
    </row>
    <row r="680" ht="15.75" customHeight="1">
      <c r="A680" s="1">
        <v>45649.0</v>
      </c>
      <c r="B680" s="2" t="s">
        <v>34</v>
      </c>
      <c r="C680" s="2" t="s">
        <v>151</v>
      </c>
      <c r="D680" s="5">
        <v>2469.75</v>
      </c>
      <c r="E680" s="5">
        <v>5.0</v>
      </c>
      <c r="F680" s="6">
        <v>12348.75</v>
      </c>
      <c r="G680" s="2" t="s">
        <v>2110</v>
      </c>
      <c r="H680" s="2" t="s">
        <v>2111</v>
      </c>
      <c r="I680" s="2" t="s">
        <v>2112</v>
      </c>
    </row>
    <row r="681" ht="15.75" customHeight="1">
      <c r="A681" s="1">
        <v>45649.0</v>
      </c>
      <c r="B681" s="2" t="s">
        <v>9</v>
      </c>
      <c r="C681" s="2" t="s">
        <v>75</v>
      </c>
      <c r="D681" s="5">
        <v>2174.89</v>
      </c>
      <c r="E681" s="5">
        <v>2.0</v>
      </c>
      <c r="F681" s="6">
        <v>4349.78</v>
      </c>
      <c r="G681" s="2" t="s">
        <v>2113</v>
      </c>
      <c r="H681" s="2" t="s">
        <v>2114</v>
      </c>
      <c r="I681" s="2" t="s">
        <v>2115</v>
      </c>
    </row>
    <row r="682" ht="15.75" customHeight="1">
      <c r="A682" s="1">
        <v>45649.0</v>
      </c>
      <c r="B682" s="2" t="s">
        <v>9</v>
      </c>
      <c r="C682" s="2" t="s">
        <v>316</v>
      </c>
      <c r="D682" s="5">
        <v>1148.92</v>
      </c>
      <c r="E682" s="5">
        <v>4.0</v>
      </c>
      <c r="F682" s="6">
        <v>4595.68</v>
      </c>
      <c r="G682" s="2" t="s">
        <v>2116</v>
      </c>
      <c r="H682" s="2" t="s">
        <v>2117</v>
      </c>
      <c r="I682" s="2" t="s">
        <v>2118</v>
      </c>
    </row>
    <row r="683" ht="15.75" customHeight="1">
      <c r="A683" s="1">
        <v>45650.0</v>
      </c>
      <c r="B683" s="3" t="s">
        <v>29</v>
      </c>
      <c r="C683" s="2" t="s">
        <v>79</v>
      </c>
      <c r="D683" s="5">
        <v>1247.53</v>
      </c>
      <c r="E683" s="5">
        <v>4.0</v>
      </c>
      <c r="F683" s="6">
        <v>4990.12</v>
      </c>
      <c r="G683" s="2" t="s">
        <v>2119</v>
      </c>
      <c r="H683" s="2" t="s">
        <v>2120</v>
      </c>
      <c r="I683" s="2" t="s">
        <v>2121</v>
      </c>
    </row>
    <row r="684" ht="15.75" customHeight="1">
      <c r="A684" s="1">
        <v>45650.0</v>
      </c>
      <c r="B684" s="2" t="s">
        <v>34</v>
      </c>
      <c r="C684" s="2" t="s">
        <v>370</v>
      </c>
      <c r="D684" s="5">
        <v>758.87</v>
      </c>
      <c r="E684" s="5">
        <v>3.0</v>
      </c>
      <c r="F684" s="6">
        <v>2276.61</v>
      </c>
      <c r="G684" s="2" t="s">
        <v>2122</v>
      </c>
      <c r="H684" s="2" t="s">
        <v>2123</v>
      </c>
      <c r="I684" s="7" t="s">
        <v>2124</v>
      </c>
    </row>
    <row r="685" ht="15.75" customHeight="1">
      <c r="A685" s="1">
        <v>45650.0</v>
      </c>
      <c r="B685" s="2" t="s">
        <v>74</v>
      </c>
      <c r="C685" s="2" t="s">
        <v>119</v>
      </c>
      <c r="D685" s="5">
        <v>2441.7</v>
      </c>
      <c r="E685" s="5">
        <v>2.0</v>
      </c>
      <c r="F685" s="6">
        <v>4883.4</v>
      </c>
      <c r="G685" s="2" t="s">
        <v>2125</v>
      </c>
      <c r="H685" s="2" t="s">
        <v>2126</v>
      </c>
      <c r="I685" s="2" t="s">
        <v>2127</v>
      </c>
    </row>
    <row r="686" ht="15.75" customHeight="1">
      <c r="A686" s="1">
        <v>45650.0</v>
      </c>
      <c r="B686" s="2" t="s">
        <v>14</v>
      </c>
      <c r="C686" s="2" t="s">
        <v>66</v>
      </c>
      <c r="D686" s="5">
        <v>366.39</v>
      </c>
      <c r="E686" s="5">
        <v>4.0</v>
      </c>
      <c r="F686" s="6">
        <v>1465.56</v>
      </c>
      <c r="G686" s="2" t="s">
        <v>2128</v>
      </c>
      <c r="H686" s="2" t="s">
        <v>2129</v>
      </c>
      <c r="I686" s="2" t="s">
        <v>2130</v>
      </c>
    </row>
    <row r="687" ht="15.75" customHeight="1">
      <c r="A687" s="1">
        <v>45650.0</v>
      </c>
      <c r="B687" s="2" t="s">
        <v>14</v>
      </c>
      <c r="C687" s="2" t="s">
        <v>49</v>
      </c>
      <c r="D687" s="5">
        <v>306.11</v>
      </c>
      <c r="E687" s="5">
        <v>2.0</v>
      </c>
      <c r="F687" s="6">
        <v>612.22</v>
      </c>
      <c r="G687" s="2" t="s">
        <v>2131</v>
      </c>
      <c r="H687" s="2" t="s">
        <v>2132</v>
      </c>
      <c r="I687" s="2" t="s">
        <v>2133</v>
      </c>
    </row>
    <row r="688" ht="15.75" customHeight="1">
      <c r="A688" s="1">
        <v>45650.0</v>
      </c>
      <c r="B688" s="3" t="s">
        <v>29</v>
      </c>
      <c r="C688" s="2" t="s">
        <v>119</v>
      </c>
      <c r="D688" s="5">
        <v>988.44</v>
      </c>
      <c r="E688" s="5">
        <v>2.0</v>
      </c>
      <c r="F688" s="6">
        <v>1976.88</v>
      </c>
      <c r="G688" s="2" t="s">
        <v>2134</v>
      </c>
      <c r="H688" s="2" t="s">
        <v>2135</v>
      </c>
      <c r="I688" s="2" t="s">
        <v>2136</v>
      </c>
    </row>
    <row r="689" ht="15.75" customHeight="1">
      <c r="A689" s="1">
        <v>45650.0</v>
      </c>
      <c r="B689" s="2" t="s">
        <v>14</v>
      </c>
      <c r="C689" s="2" t="s">
        <v>279</v>
      </c>
      <c r="D689" s="5">
        <v>2003.92</v>
      </c>
      <c r="E689" s="5">
        <v>2.0</v>
      </c>
      <c r="F689" s="6">
        <v>4007.84</v>
      </c>
      <c r="G689" s="2" t="s">
        <v>2137</v>
      </c>
      <c r="H689" s="2" t="s">
        <v>2138</v>
      </c>
      <c r="I689" s="2" t="s">
        <v>2139</v>
      </c>
    </row>
    <row r="690" ht="15.75" customHeight="1">
      <c r="A690" s="1">
        <v>45650.0</v>
      </c>
      <c r="B690" s="2" t="s">
        <v>34</v>
      </c>
      <c r="C690" s="2" t="s">
        <v>119</v>
      </c>
      <c r="D690" s="5">
        <v>519.68</v>
      </c>
      <c r="E690" s="5">
        <v>5.0</v>
      </c>
      <c r="F690" s="6">
        <v>2598.4</v>
      </c>
      <c r="G690" s="2" t="s">
        <v>2140</v>
      </c>
      <c r="H690" s="2" t="s">
        <v>2141</v>
      </c>
      <c r="I690" s="2" t="s">
        <v>2142</v>
      </c>
    </row>
    <row r="691" ht="15.75" customHeight="1">
      <c r="A691" s="1">
        <v>45650.0</v>
      </c>
      <c r="B691" s="2" t="s">
        <v>34</v>
      </c>
      <c r="C691" s="2" t="s">
        <v>115</v>
      </c>
      <c r="D691" s="5">
        <v>920.71</v>
      </c>
      <c r="E691" s="5">
        <v>4.0</v>
      </c>
      <c r="F691" s="6">
        <v>3682.84</v>
      </c>
      <c r="G691" s="2" t="s">
        <v>2143</v>
      </c>
      <c r="H691" s="2" t="s">
        <v>2144</v>
      </c>
      <c r="I691" s="2" t="s">
        <v>2145</v>
      </c>
    </row>
    <row r="692" ht="15.75" customHeight="1">
      <c r="A692" s="1">
        <v>45650.0</v>
      </c>
      <c r="B692" s="3" t="s">
        <v>29</v>
      </c>
      <c r="C692" s="2" t="s">
        <v>83</v>
      </c>
      <c r="D692" s="5">
        <v>1089.03</v>
      </c>
      <c r="E692" s="5">
        <v>5.0</v>
      </c>
      <c r="F692" s="6">
        <v>5445.15</v>
      </c>
      <c r="G692" s="2" t="s">
        <v>2146</v>
      </c>
      <c r="H692" s="2" t="s">
        <v>2147</v>
      </c>
      <c r="I692" s="2" t="s">
        <v>2148</v>
      </c>
    </row>
    <row r="693" ht="15.75" customHeight="1">
      <c r="A693" s="1">
        <v>45650.0</v>
      </c>
      <c r="B693" s="2" t="s">
        <v>34</v>
      </c>
      <c r="C693" s="2" t="s">
        <v>230</v>
      </c>
      <c r="D693" s="5">
        <v>500.74</v>
      </c>
      <c r="E693" s="5">
        <v>4.0</v>
      </c>
      <c r="F693" s="6">
        <v>2002.96</v>
      </c>
      <c r="G693" s="2" t="s">
        <v>2149</v>
      </c>
      <c r="H693" s="2" t="s">
        <v>2150</v>
      </c>
      <c r="I693" s="2" t="s">
        <v>2151</v>
      </c>
    </row>
    <row r="694" ht="15.75" customHeight="1">
      <c r="A694" s="1">
        <v>45651.0</v>
      </c>
      <c r="B694" s="2" t="s">
        <v>9</v>
      </c>
      <c r="C694" s="2" t="s">
        <v>161</v>
      </c>
      <c r="D694" s="5">
        <v>1047.88</v>
      </c>
      <c r="E694" s="5">
        <v>3.0</v>
      </c>
      <c r="F694" s="6">
        <v>3143.64</v>
      </c>
      <c r="G694" s="2" t="s">
        <v>2152</v>
      </c>
      <c r="H694" s="2" t="s">
        <v>2153</v>
      </c>
      <c r="I694" s="2" t="s">
        <v>2154</v>
      </c>
    </row>
    <row r="695" ht="15.75" customHeight="1">
      <c r="A695" s="1">
        <v>45651.0</v>
      </c>
      <c r="B695" s="2" t="s">
        <v>74</v>
      </c>
      <c r="C695" s="2" t="s">
        <v>137</v>
      </c>
      <c r="D695" s="5">
        <v>228.56</v>
      </c>
      <c r="E695" s="5">
        <v>3.0</v>
      </c>
      <c r="F695" s="6">
        <v>685.68</v>
      </c>
      <c r="G695" s="2" t="s">
        <v>2155</v>
      </c>
      <c r="H695" s="2" t="s">
        <v>2156</v>
      </c>
      <c r="I695" s="2" t="s">
        <v>2157</v>
      </c>
    </row>
    <row r="696" ht="15.75" customHeight="1">
      <c r="A696" s="1">
        <v>45651.0</v>
      </c>
      <c r="B696" s="2" t="s">
        <v>74</v>
      </c>
      <c r="C696" s="2" t="s">
        <v>316</v>
      </c>
      <c r="D696" s="5">
        <v>1068.29</v>
      </c>
      <c r="E696" s="5">
        <v>4.0</v>
      </c>
      <c r="F696" s="6">
        <v>4273.16</v>
      </c>
      <c r="G696" s="2" t="s">
        <v>2158</v>
      </c>
      <c r="H696" s="2" t="s">
        <v>2159</v>
      </c>
      <c r="I696" s="2" t="s">
        <v>2160</v>
      </c>
    </row>
    <row r="697" ht="15.75" customHeight="1">
      <c r="A697" s="1">
        <v>45651.0</v>
      </c>
      <c r="B697" s="2" t="s">
        <v>9</v>
      </c>
      <c r="C697" s="2" t="s">
        <v>396</v>
      </c>
      <c r="D697" s="5">
        <v>173.94</v>
      </c>
      <c r="E697" s="5">
        <v>5.0</v>
      </c>
      <c r="F697" s="6">
        <v>869.7</v>
      </c>
      <c r="G697" s="2" t="s">
        <v>2161</v>
      </c>
      <c r="H697" s="2" t="s">
        <v>2162</v>
      </c>
      <c r="I697" s="2" t="s">
        <v>2163</v>
      </c>
    </row>
    <row r="698" ht="15.75" customHeight="1">
      <c r="A698" s="1">
        <v>45651.0</v>
      </c>
      <c r="B698" s="2" t="s">
        <v>14</v>
      </c>
      <c r="C698" s="2" t="s">
        <v>169</v>
      </c>
      <c r="D698" s="5">
        <v>2271.98</v>
      </c>
      <c r="E698" s="5">
        <v>5.0</v>
      </c>
      <c r="F698" s="6">
        <v>11359.9</v>
      </c>
      <c r="G698" s="2" t="s">
        <v>2164</v>
      </c>
      <c r="H698" s="2" t="s">
        <v>2165</v>
      </c>
      <c r="I698" s="2" t="s">
        <v>2166</v>
      </c>
    </row>
    <row r="699" ht="15.75" customHeight="1">
      <c r="A699" s="1">
        <v>45651.0</v>
      </c>
      <c r="B699" s="2" t="s">
        <v>74</v>
      </c>
      <c r="C699" s="2" t="s">
        <v>119</v>
      </c>
      <c r="D699" s="5">
        <v>2461.45</v>
      </c>
      <c r="E699" s="5">
        <v>4.0</v>
      </c>
      <c r="F699" s="6">
        <v>9845.8</v>
      </c>
      <c r="G699" s="2" t="s">
        <v>2167</v>
      </c>
      <c r="H699" s="2" t="s">
        <v>2168</v>
      </c>
      <c r="I699" s="2" t="s">
        <v>2169</v>
      </c>
    </row>
    <row r="700" ht="15.75" customHeight="1">
      <c r="A700" s="1">
        <v>45651.0</v>
      </c>
      <c r="B700" s="2" t="s">
        <v>74</v>
      </c>
      <c r="C700" s="2" t="s">
        <v>92</v>
      </c>
      <c r="D700" s="5">
        <v>848.42</v>
      </c>
      <c r="E700" s="5">
        <v>3.0</v>
      </c>
      <c r="F700" s="6">
        <v>2545.26</v>
      </c>
      <c r="G700" s="2" t="s">
        <v>2170</v>
      </c>
      <c r="H700" s="2" t="s">
        <v>2171</v>
      </c>
      <c r="I700" s="7" t="s">
        <v>2172</v>
      </c>
    </row>
    <row r="701" ht="15.75" customHeight="1">
      <c r="A701" s="1">
        <v>45651.0</v>
      </c>
      <c r="B701" s="2" t="s">
        <v>9</v>
      </c>
      <c r="C701" s="2" t="s">
        <v>427</v>
      </c>
      <c r="D701" s="5">
        <v>2334.37</v>
      </c>
      <c r="E701" s="5">
        <v>1.0</v>
      </c>
      <c r="F701" s="6">
        <v>2334.37</v>
      </c>
      <c r="G701" s="2" t="s">
        <v>2173</v>
      </c>
      <c r="H701" s="2" t="s">
        <v>2174</v>
      </c>
      <c r="I701" s="2" t="s">
        <v>2175</v>
      </c>
    </row>
    <row r="702" ht="15.75" customHeight="1">
      <c r="A702" s="1">
        <v>45651.0</v>
      </c>
      <c r="B702" s="2" t="s">
        <v>74</v>
      </c>
      <c r="C702" s="2" t="s">
        <v>230</v>
      </c>
      <c r="D702" s="5">
        <v>648.35</v>
      </c>
      <c r="E702" s="5">
        <v>5.0</v>
      </c>
      <c r="F702" s="6">
        <v>3241.75</v>
      </c>
      <c r="G702" s="2" t="s">
        <v>2176</v>
      </c>
      <c r="H702" s="2" t="s">
        <v>2177</v>
      </c>
      <c r="I702" s="2" t="s">
        <v>2178</v>
      </c>
    </row>
    <row r="703" ht="15.75" customHeight="1">
      <c r="A703" s="1">
        <v>45652.0</v>
      </c>
      <c r="B703" s="2" t="s">
        <v>74</v>
      </c>
      <c r="C703" s="2" t="s">
        <v>183</v>
      </c>
      <c r="D703" s="5">
        <v>1794.09</v>
      </c>
      <c r="E703" s="5">
        <v>5.0</v>
      </c>
      <c r="F703" s="6">
        <v>8970.45</v>
      </c>
      <c r="G703" s="2" t="s">
        <v>2179</v>
      </c>
      <c r="H703" s="2" t="s">
        <v>2180</v>
      </c>
      <c r="I703" s="2" t="s">
        <v>2181</v>
      </c>
    </row>
    <row r="704" ht="15.75" customHeight="1">
      <c r="A704" s="1">
        <v>45652.0</v>
      </c>
      <c r="B704" s="3" t="s">
        <v>29</v>
      </c>
      <c r="C704" s="2" t="s">
        <v>22</v>
      </c>
      <c r="D704" s="5">
        <v>658.24</v>
      </c>
      <c r="E704" s="5">
        <v>3.0</v>
      </c>
      <c r="F704" s="6">
        <v>1974.72</v>
      </c>
      <c r="G704" s="2" t="s">
        <v>2182</v>
      </c>
      <c r="H704" s="2" t="s">
        <v>2183</v>
      </c>
      <c r="I704" s="2" t="s">
        <v>2184</v>
      </c>
    </row>
    <row r="705" ht="15.75" customHeight="1">
      <c r="A705" s="1">
        <v>45652.0</v>
      </c>
      <c r="B705" s="2" t="s">
        <v>57</v>
      </c>
      <c r="C705" s="2" t="s">
        <v>75</v>
      </c>
      <c r="D705" s="5">
        <v>824.79</v>
      </c>
      <c r="E705" s="5">
        <v>4.0</v>
      </c>
      <c r="F705" s="6">
        <v>3299.16</v>
      </c>
      <c r="G705" s="2" t="s">
        <v>2185</v>
      </c>
      <c r="H705" s="2" t="s">
        <v>2186</v>
      </c>
      <c r="I705" s="2" t="s">
        <v>2187</v>
      </c>
    </row>
    <row r="706" ht="15.75" customHeight="1">
      <c r="A706" s="1">
        <v>45652.0</v>
      </c>
      <c r="B706" s="2" t="s">
        <v>34</v>
      </c>
      <c r="C706" s="2" t="s">
        <v>386</v>
      </c>
      <c r="D706" s="5">
        <v>1056.48</v>
      </c>
      <c r="E706" s="5">
        <v>4.0</v>
      </c>
      <c r="F706" s="6">
        <v>4225.92</v>
      </c>
      <c r="G706" s="2" t="s">
        <v>2188</v>
      </c>
      <c r="H706" s="2" t="s">
        <v>2189</v>
      </c>
      <c r="I706" s="2" t="s">
        <v>2190</v>
      </c>
    </row>
    <row r="707" ht="15.75" customHeight="1">
      <c r="A707" s="1">
        <v>45652.0</v>
      </c>
      <c r="B707" s="2" t="s">
        <v>9</v>
      </c>
      <c r="C707" s="2" t="s">
        <v>370</v>
      </c>
      <c r="D707" s="5">
        <v>932.02</v>
      </c>
      <c r="E707" s="5">
        <v>4.0</v>
      </c>
      <c r="F707" s="6">
        <v>3728.08</v>
      </c>
      <c r="G707" s="2" t="s">
        <v>2191</v>
      </c>
      <c r="H707" s="2" t="s">
        <v>2192</v>
      </c>
      <c r="I707" s="2" t="s">
        <v>2193</v>
      </c>
    </row>
    <row r="708" ht="15.75" customHeight="1">
      <c r="A708" s="1">
        <v>45652.0</v>
      </c>
      <c r="B708" s="2" t="s">
        <v>57</v>
      </c>
      <c r="C708" s="2" t="s">
        <v>341</v>
      </c>
      <c r="D708" s="5">
        <v>2140.33</v>
      </c>
      <c r="E708" s="5">
        <v>5.0</v>
      </c>
      <c r="F708" s="6">
        <v>10701.65</v>
      </c>
      <c r="G708" s="2" t="s">
        <v>2194</v>
      </c>
      <c r="H708" s="2" t="s">
        <v>2195</v>
      </c>
      <c r="I708" s="2" t="s">
        <v>2196</v>
      </c>
    </row>
    <row r="709" ht="15.75" customHeight="1">
      <c r="A709" s="1">
        <v>45652.0</v>
      </c>
      <c r="B709" s="2" t="s">
        <v>74</v>
      </c>
      <c r="C709" s="2" t="s">
        <v>39</v>
      </c>
      <c r="D709" s="5">
        <v>554.25</v>
      </c>
      <c r="E709" s="5">
        <v>1.0</v>
      </c>
      <c r="F709" s="6">
        <v>554.25</v>
      </c>
      <c r="G709" s="2" t="s">
        <v>2197</v>
      </c>
      <c r="H709" s="2" t="s">
        <v>2198</v>
      </c>
      <c r="I709" s="2" t="s">
        <v>2199</v>
      </c>
    </row>
    <row r="710" ht="15.75" customHeight="1">
      <c r="A710" s="1">
        <v>45652.0</v>
      </c>
      <c r="B710" s="2" t="s">
        <v>57</v>
      </c>
      <c r="C710" s="2" t="s">
        <v>370</v>
      </c>
      <c r="D710" s="5">
        <v>173.36</v>
      </c>
      <c r="E710" s="5">
        <v>2.0</v>
      </c>
      <c r="F710" s="6">
        <v>346.72</v>
      </c>
      <c r="G710" s="2" t="s">
        <v>2200</v>
      </c>
      <c r="H710" s="2" t="s">
        <v>2201</v>
      </c>
      <c r="I710" s="2" t="s">
        <v>2202</v>
      </c>
    </row>
    <row r="711" ht="15.75" customHeight="1">
      <c r="A711" s="1">
        <v>45653.0</v>
      </c>
      <c r="B711" s="3" t="s">
        <v>29</v>
      </c>
      <c r="C711" s="2" t="s">
        <v>10</v>
      </c>
      <c r="D711" s="5">
        <v>1935.15</v>
      </c>
      <c r="E711" s="5">
        <v>3.0</v>
      </c>
      <c r="F711" s="6">
        <v>5805.45</v>
      </c>
      <c r="G711" s="2" t="s">
        <v>2203</v>
      </c>
      <c r="H711" s="2" t="s">
        <v>2204</v>
      </c>
      <c r="I711" s="2" t="s">
        <v>2205</v>
      </c>
    </row>
    <row r="712" ht="15.75" customHeight="1">
      <c r="A712" s="1">
        <v>45653.0</v>
      </c>
      <c r="B712" s="2" t="s">
        <v>74</v>
      </c>
      <c r="C712" s="2" t="s">
        <v>427</v>
      </c>
      <c r="D712" s="5">
        <v>1923.56</v>
      </c>
      <c r="E712" s="5">
        <v>4.0</v>
      </c>
      <c r="F712" s="6">
        <v>7694.24</v>
      </c>
      <c r="G712" s="2" t="s">
        <v>2206</v>
      </c>
      <c r="H712" s="2" t="s">
        <v>2207</v>
      </c>
      <c r="I712" s="2" t="s">
        <v>2208</v>
      </c>
    </row>
    <row r="713" ht="15.75" customHeight="1">
      <c r="A713" s="1">
        <v>45653.0</v>
      </c>
      <c r="B713" s="2" t="s">
        <v>74</v>
      </c>
      <c r="C713" s="2" t="s">
        <v>386</v>
      </c>
      <c r="D713" s="5">
        <v>2263.78</v>
      </c>
      <c r="E713" s="5">
        <v>5.0</v>
      </c>
      <c r="F713" s="6">
        <v>11318.9</v>
      </c>
      <c r="G713" s="2" t="s">
        <v>2209</v>
      </c>
      <c r="H713" s="2" t="s">
        <v>2210</v>
      </c>
      <c r="I713" s="2" t="s">
        <v>2211</v>
      </c>
    </row>
    <row r="714" ht="15.75" customHeight="1">
      <c r="A714" s="1">
        <v>45653.0</v>
      </c>
      <c r="B714" s="2" t="s">
        <v>14</v>
      </c>
      <c r="C714" s="2" t="s">
        <v>53</v>
      </c>
      <c r="D714" s="5">
        <v>1831.56</v>
      </c>
      <c r="E714" s="5">
        <v>2.0</v>
      </c>
      <c r="F714" s="6">
        <v>3663.12</v>
      </c>
      <c r="G714" s="2" t="s">
        <v>2212</v>
      </c>
      <c r="H714" s="2" t="s">
        <v>2213</v>
      </c>
      <c r="I714" s="2" t="s">
        <v>2214</v>
      </c>
    </row>
    <row r="715" ht="15.75" customHeight="1">
      <c r="A715" s="1">
        <v>45653.0</v>
      </c>
      <c r="B715" s="2" t="s">
        <v>57</v>
      </c>
      <c r="C715" s="2" t="s">
        <v>662</v>
      </c>
      <c r="D715" s="5">
        <v>1191.71</v>
      </c>
      <c r="E715" s="5">
        <v>4.0</v>
      </c>
      <c r="F715" s="6">
        <v>4766.84</v>
      </c>
      <c r="G715" s="2" t="s">
        <v>2215</v>
      </c>
      <c r="H715" s="2" t="s">
        <v>2216</v>
      </c>
      <c r="I715" s="2" t="s">
        <v>2217</v>
      </c>
    </row>
    <row r="716" ht="15.75" customHeight="1">
      <c r="A716" s="1">
        <v>45653.0</v>
      </c>
      <c r="B716" s="2" t="s">
        <v>9</v>
      </c>
      <c r="C716" s="2" t="s">
        <v>79</v>
      </c>
      <c r="D716" s="5">
        <v>314.84</v>
      </c>
      <c r="E716" s="5">
        <v>1.0</v>
      </c>
      <c r="F716" s="6">
        <v>314.84</v>
      </c>
      <c r="G716" s="2" t="s">
        <v>2218</v>
      </c>
      <c r="H716" s="2" t="s">
        <v>2219</v>
      </c>
      <c r="I716" s="7" t="s">
        <v>2220</v>
      </c>
    </row>
    <row r="717" ht="15.75" customHeight="1">
      <c r="A717" s="1">
        <v>45654.0</v>
      </c>
      <c r="B717" s="2" t="s">
        <v>9</v>
      </c>
      <c r="C717" s="2" t="s">
        <v>70</v>
      </c>
      <c r="D717" s="5">
        <v>1724.31</v>
      </c>
      <c r="E717" s="5">
        <v>2.0</v>
      </c>
      <c r="F717" s="6">
        <v>3448.62</v>
      </c>
      <c r="G717" s="2" t="s">
        <v>2221</v>
      </c>
      <c r="H717" s="2" t="s">
        <v>2222</v>
      </c>
      <c r="I717" s="2" t="s">
        <v>2223</v>
      </c>
    </row>
    <row r="718" ht="15.75" customHeight="1">
      <c r="A718" s="1">
        <v>45654.0</v>
      </c>
      <c r="B718" s="2" t="s">
        <v>9</v>
      </c>
      <c r="C718" s="2" t="s">
        <v>62</v>
      </c>
      <c r="D718" s="5">
        <v>372.92</v>
      </c>
      <c r="E718" s="5">
        <v>3.0</v>
      </c>
      <c r="F718" s="6">
        <v>1118.76</v>
      </c>
      <c r="G718" s="2" t="s">
        <v>2224</v>
      </c>
      <c r="H718" s="2" t="s">
        <v>2225</v>
      </c>
      <c r="I718" s="2" t="s">
        <v>2226</v>
      </c>
    </row>
    <row r="719" ht="15.75" customHeight="1">
      <c r="A719" s="1">
        <v>45654.0</v>
      </c>
      <c r="B719" s="2" t="s">
        <v>9</v>
      </c>
      <c r="C719" s="2" t="s">
        <v>137</v>
      </c>
      <c r="D719" s="5">
        <v>589.92</v>
      </c>
      <c r="E719" s="5">
        <v>3.0</v>
      </c>
      <c r="F719" s="6">
        <v>1769.76</v>
      </c>
      <c r="G719" s="2" t="s">
        <v>2227</v>
      </c>
      <c r="H719" s="2" t="s">
        <v>2228</v>
      </c>
      <c r="I719" s="2" t="s">
        <v>2229</v>
      </c>
    </row>
    <row r="720" ht="15.75" customHeight="1">
      <c r="A720" s="1">
        <v>45654.0</v>
      </c>
      <c r="B720" s="2" t="s">
        <v>74</v>
      </c>
      <c r="C720" s="2" t="s">
        <v>161</v>
      </c>
      <c r="D720" s="5">
        <v>702.77</v>
      </c>
      <c r="E720" s="5">
        <v>3.0</v>
      </c>
      <c r="F720" s="6">
        <v>2108.31</v>
      </c>
      <c r="G720" s="2" t="s">
        <v>2230</v>
      </c>
      <c r="H720" s="2" t="s">
        <v>2231</v>
      </c>
      <c r="I720" s="2" t="s">
        <v>2232</v>
      </c>
    </row>
    <row r="721" ht="15.75" customHeight="1">
      <c r="A721" s="1">
        <v>45654.0</v>
      </c>
      <c r="B721" s="3" t="s">
        <v>29</v>
      </c>
      <c r="C721" s="2" t="s">
        <v>53</v>
      </c>
      <c r="D721" s="5">
        <v>2261.12</v>
      </c>
      <c r="E721" s="5">
        <v>4.0</v>
      </c>
      <c r="F721" s="6">
        <v>9044.48</v>
      </c>
      <c r="G721" s="2" t="s">
        <v>2233</v>
      </c>
      <c r="H721" s="2" t="s">
        <v>2234</v>
      </c>
      <c r="I721" s="2" t="s">
        <v>2235</v>
      </c>
    </row>
    <row r="722" ht="15.75" customHeight="1">
      <c r="A722" s="1">
        <v>45654.0</v>
      </c>
      <c r="B722" s="2" t="s">
        <v>9</v>
      </c>
      <c r="C722" s="2" t="s">
        <v>137</v>
      </c>
      <c r="D722" s="5">
        <v>1577.5</v>
      </c>
      <c r="E722" s="5">
        <v>4.0</v>
      </c>
      <c r="F722" s="6">
        <v>6310.0</v>
      </c>
      <c r="G722" s="2" t="s">
        <v>2236</v>
      </c>
      <c r="H722" s="2" t="s">
        <v>2237</v>
      </c>
      <c r="I722" s="2" t="s">
        <v>2238</v>
      </c>
    </row>
    <row r="723" ht="15.75" customHeight="1">
      <c r="A723" s="1">
        <v>45654.0</v>
      </c>
      <c r="B723" s="2" t="s">
        <v>34</v>
      </c>
      <c r="C723" s="2" t="s">
        <v>169</v>
      </c>
      <c r="D723" s="5">
        <v>211.08</v>
      </c>
      <c r="E723" s="5">
        <v>4.0</v>
      </c>
      <c r="F723" s="6">
        <v>844.32</v>
      </c>
      <c r="G723" s="2" t="s">
        <v>2239</v>
      </c>
      <c r="H723" s="2" t="s">
        <v>2240</v>
      </c>
      <c r="I723" s="2" t="s">
        <v>2241</v>
      </c>
    </row>
    <row r="724" ht="15.75" customHeight="1">
      <c r="A724" s="1">
        <v>45654.0</v>
      </c>
      <c r="B724" s="3" t="s">
        <v>29</v>
      </c>
      <c r="C724" s="2" t="s">
        <v>308</v>
      </c>
      <c r="D724" s="5">
        <v>1061.9</v>
      </c>
      <c r="E724" s="5">
        <v>4.0</v>
      </c>
      <c r="F724" s="6">
        <v>4247.6</v>
      </c>
      <c r="G724" s="2" t="s">
        <v>2242</v>
      </c>
      <c r="H724" s="2" t="s">
        <v>2243</v>
      </c>
      <c r="I724" s="2" t="s">
        <v>2244</v>
      </c>
    </row>
    <row r="725" ht="15.75" customHeight="1">
      <c r="A725" s="1">
        <v>45654.0</v>
      </c>
      <c r="B725" s="3" t="s">
        <v>29</v>
      </c>
      <c r="C725" s="2" t="s">
        <v>49</v>
      </c>
      <c r="D725" s="5">
        <v>1152.78</v>
      </c>
      <c r="E725" s="5">
        <v>4.0</v>
      </c>
      <c r="F725" s="6">
        <v>4611.12</v>
      </c>
      <c r="G725" s="2" t="s">
        <v>2245</v>
      </c>
      <c r="H725" s="2" t="s">
        <v>2246</v>
      </c>
      <c r="I725" s="2" t="s">
        <v>2247</v>
      </c>
    </row>
    <row r="726" ht="15.75" customHeight="1">
      <c r="A726" s="1">
        <v>45654.0</v>
      </c>
      <c r="B726" s="2" t="s">
        <v>14</v>
      </c>
      <c r="C726" s="2" t="s">
        <v>312</v>
      </c>
      <c r="D726" s="5">
        <v>1793.94</v>
      </c>
      <c r="E726" s="5">
        <v>3.0</v>
      </c>
      <c r="F726" s="6">
        <v>5381.82</v>
      </c>
      <c r="G726" s="2" t="s">
        <v>2248</v>
      </c>
      <c r="H726" s="2" t="s">
        <v>2249</v>
      </c>
      <c r="I726" s="2" t="s">
        <v>2250</v>
      </c>
    </row>
    <row r="727" ht="15.75" customHeight="1">
      <c r="A727" s="1">
        <v>45654.0</v>
      </c>
      <c r="B727" s="2" t="s">
        <v>57</v>
      </c>
      <c r="C727" s="2" t="s">
        <v>92</v>
      </c>
      <c r="D727" s="5">
        <v>2144.75</v>
      </c>
      <c r="E727" s="5">
        <v>1.0</v>
      </c>
      <c r="F727" s="6">
        <v>2144.75</v>
      </c>
      <c r="G727" s="2" t="s">
        <v>2251</v>
      </c>
      <c r="H727" s="2" t="s">
        <v>2252</v>
      </c>
      <c r="I727" s="2" t="s">
        <v>2253</v>
      </c>
    </row>
    <row r="728" ht="15.75" customHeight="1">
      <c r="A728" s="1">
        <v>45654.0</v>
      </c>
      <c r="B728" s="2" t="s">
        <v>14</v>
      </c>
      <c r="C728" s="2" t="s">
        <v>289</v>
      </c>
      <c r="D728" s="5">
        <v>1642.37</v>
      </c>
      <c r="E728" s="5">
        <v>3.0</v>
      </c>
      <c r="F728" s="6">
        <v>4927.11</v>
      </c>
      <c r="G728" s="2" t="s">
        <v>2254</v>
      </c>
      <c r="H728" s="2" t="s">
        <v>2255</v>
      </c>
      <c r="I728" s="2" t="s">
        <v>2256</v>
      </c>
    </row>
    <row r="729" ht="15.75" customHeight="1">
      <c r="A729" s="1">
        <v>45654.0</v>
      </c>
      <c r="B729" s="3" t="s">
        <v>29</v>
      </c>
      <c r="C729" s="2" t="s">
        <v>316</v>
      </c>
      <c r="D729" s="5">
        <v>158.82</v>
      </c>
      <c r="E729" s="5">
        <v>2.0</v>
      </c>
      <c r="F729" s="6">
        <v>317.64</v>
      </c>
      <c r="G729" s="2" t="s">
        <v>2257</v>
      </c>
      <c r="H729" s="2" t="s">
        <v>2258</v>
      </c>
      <c r="I729" s="2" t="s">
        <v>2259</v>
      </c>
    </row>
    <row r="730" ht="15.75" customHeight="1">
      <c r="A730" s="1">
        <v>45654.0</v>
      </c>
      <c r="B730" s="2" t="s">
        <v>57</v>
      </c>
      <c r="C730" s="2" t="s">
        <v>165</v>
      </c>
      <c r="D730" s="5">
        <v>1088.66</v>
      </c>
      <c r="E730" s="5">
        <v>4.0</v>
      </c>
      <c r="F730" s="6">
        <v>4354.64</v>
      </c>
      <c r="G730" s="2" t="s">
        <v>2260</v>
      </c>
      <c r="H730" s="2" t="s">
        <v>2261</v>
      </c>
      <c r="I730" s="2" t="s">
        <v>2262</v>
      </c>
    </row>
    <row r="731" ht="15.75" customHeight="1">
      <c r="A731" s="1">
        <v>45655.0</v>
      </c>
      <c r="B731" s="2" t="s">
        <v>9</v>
      </c>
      <c r="C731" s="2" t="s">
        <v>66</v>
      </c>
      <c r="D731" s="5">
        <v>1456.46</v>
      </c>
      <c r="E731" s="5">
        <v>4.0</v>
      </c>
      <c r="F731" s="6">
        <v>5825.84</v>
      </c>
      <c r="G731" s="2" t="s">
        <v>2263</v>
      </c>
      <c r="H731" s="2" t="s">
        <v>2264</v>
      </c>
      <c r="I731" s="2" t="s">
        <v>2265</v>
      </c>
    </row>
    <row r="732" ht="15.75" customHeight="1">
      <c r="A732" s="1">
        <v>45655.0</v>
      </c>
      <c r="B732" s="2" t="s">
        <v>57</v>
      </c>
      <c r="C732" s="2" t="s">
        <v>79</v>
      </c>
      <c r="D732" s="5">
        <v>2209.08</v>
      </c>
      <c r="E732" s="5">
        <v>2.0</v>
      </c>
      <c r="F732" s="6">
        <v>4418.16</v>
      </c>
      <c r="G732" s="2" t="s">
        <v>2266</v>
      </c>
      <c r="H732" s="2" t="s">
        <v>2267</v>
      </c>
      <c r="I732" s="7" t="s">
        <v>2268</v>
      </c>
    </row>
    <row r="733" ht="15.75" customHeight="1">
      <c r="A733" s="1">
        <v>45655.0</v>
      </c>
      <c r="B733" s="2" t="s">
        <v>14</v>
      </c>
      <c r="C733" s="2" t="s">
        <v>169</v>
      </c>
      <c r="D733" s="5">
        <v>401.92</v>
      </c>
      <c r="E733" s="5">
        <v>3.0</v>
      </c>
      <c r="F733" s="6">
        <v>1205.76</v>
      </c>
      <c r="G733" s="2" t="s">
        <v>2269</v>
      </c>
      <c r="H733" s="2" t="s">
        <v>2270</v>
      </c>
      <c r="I733" s="2" t="s">
        <v>2271</v>
      </c>
    </row>
    <row r="734" ht="15.75" customHeight="1">
      <c r="A734" s="1">
        <v>45655.0</v>
      </c>
      <c r="B734" s="2" t="s">
        <v>14</v>
      </c>
      <c r="C734" s="2" t="s">
        <v>123</v>
      </c>
      <c r="D734" s="5">
        <v>989.79</v>
      </c>
      <c r="E734" s="5">
        <v>5.0</v>
      </c>
      <c r="F734" s="6">
        <v>4948.95</v>
      </c>
      <c r="G734" s="2" t="s">
        <v>2272</v>
      </c>
      <c r="H734" s="2" t="s">
        <v>2273</v>
      </c>
      <c r="I734" s="2" t="s">
        <v>2274</v>
      </c>
    </row>
    <row r="735" ht="15.75" customHeight="1">
      <c r="A735" s="1">
        <v>45655.0</v>
      </c>
      <c r="B735" s="2" t="s">
        <v>14</v>
      </c>
      <c r="C735" s="2" t="s">
        <v>427</v>
      </c>
      <c r="D735" s="5">
        <v>173.98</v>
      </c>
      <c r="E735" s="5">
        <v>4.0</v>
      </c>
      <c r="F735" s="6">
        <v>695.92</v>
      </c>
      <c r="G735" s="2" t="s">
        <v>2275</v>
      </c>
      <c r="H735" s="2" t="s">
        <v>2276</v>
      </c>
      <c r="I735" s="2" t="s">
        <v>2277</v>
      </c>
    </row>
    <row r="736" ht="15.75" customHeight="1">
      <c r="A736" s="1">
        <v>45655.0</v>
      </c>
      <c r="B736" s="2" t="s">
        <v>57</v>
      </c>
      <c r="C736" s="2" t="s">
        <v>62</v>
      </c>
      <c r="D736" s="5">
        <v>1006.61</v>
      </c>
      <c r="E736" s="5">
        <v>4.0</v>
      </c>
      <c r="F736" s="6">
        <v>4026.44</v>
      </c>
      <c r="G736" s="2" t="s">
        <v>2278</v>
      </c>
      <c r="H736" s="2" t="s">
        <v>2279</v>
      </c>
      <c r="I736" s="2" t="s">
        <v>2280</v>
      </c>
    </row>
    <row r="737" ht="15.75" customHeight="1">
      <c r="A737" s="1">
        <v>45655.0</v>
      </c>
      <c r="B737" s="3" t="s">
        <v>29</v>
      </c>
      <c r="C737" s="2" t="s">
        <v>370</v>
      </c>
      <c r="D737" s="5">
        <v>2068.09</v>
      </c>
      <c r="E737" s="5">
        <v>2.0</v>
      </c>
      <c r="F737" s="6">
        <v>4136.18</v>
      </c>
      <c r="G737" s="2" t="s">
        <v>2281</v>
      </c>
      <c r="H737" s="2" t="s">
        <v>2282</v>
      </c>
      <c r="I737" s="2" t="s">
        <v>2283</v>
      </c>
    </row>
    <row r="738" ht="15.75" customHeight="1">
      <c r="A738" s="1">
        <v>45655.0</v>
      </c>
      <c r="B738" s="3" t="s">
        <v>29</v>
      </c>
      <c r="C738" s="2" t="s">
        <v>252</v>
      </c>
      <c r="D738" s="5">
        <v>732.27</v>
      </c>
      <c r="E738" s="5">
        <v>4.0</v>
      </c>
      <c r="F738" s="6">
        <v>2929.08</v>
      </c>
      <c r="G738" s="2" t="s">
        <v>2284</v>
      </c>
      <c r="H738" s="2" t="s">
        <v>2285</v>
      </c>
      <c r="I738" s="2" t="s">
        <v>2286</v>
      </c>
    </row>
    <row r="739" ht="15.75" customHeight="1">
      <c r="A739" s="1">
        <v>45655.0</v>
      </c>
      <c r="B739" s="2" t="s">
        <v>9</v>
      </c>
      <c r="C739" s="2" t="s">
        <v>161</v>
      </c>
      <c r="D739" s="5">
        <v>620.05</v>
      </c>
      <c r="E739" s="5">
        <v>5.0</v>
      </c>
      <c r="F739" s="6">
        <v>3100.25</v>
      </c>
      <c r="G739" s="2" t="s">
        <v>2287</v>
      </c>
      <c r="H739" s="2" t="s">
        <v>2288</v>
      </c>
      <c r="I739" s="2" t="s">
        <v>2289</v>
      </c>
    </row>
    <row r="740" ht="15.75" customHeight="1">
      <c r="A740" s="1">
        <v>45655.0</v>
      </c>
      <c r="B740" s="2" t="s">
        <v>74</v>
      </c>
      <c r="C740" s="2" t="s">
        <v>123</v>
      </c>
      <c r="D740" s="5">
        <v>1331.81</v>
      </c>
      <c r="E740" s="5">
        <v>3.0</v>
      </c>
      <c r="F740" s="6">
        <v>3995.43</v>
      </c>
      <c r="G740" s="2" t="s">
        <v>2290</v>
      </c>
      <c r="H740" s="2" t="s">
        <v>2291</v>
      </c>
      <c r="I740" s="2" t="s">
        <v>2292</v>
      </c>
    </row>
    <row r="741" ht="15.75" customHeight="1">
      <c r="A741" s="1">
        <v>45655.0</v>
      </c>
      <c r="B741" s="2" t="s">
        <v>34</v>
      </c>
      <c r="C741" s="2" t="s">
        <v>366</v>
      </c>
      <c r="D741" s="5">
        <v>714.18</v>
      </c>
      <c r="E741" s="5">
        <v>4.0</v>
      </c>
      <c r="F741" s="6">
        <v>2856.72</v>
      </c>
      <c r="G741" s="2" t="s">
        <v>2293</v>
      </c>
      <c r="H741" s="2" t="s">
        <v>2294</v>
      </c>
      <c r="I741" s="2" t="s">
        <v>2295</v>
      </c>
    </row>
    <row r="742" ht="15.75" customHeight="1">
      <c r="A742" s="1">
        <v>45655.0</v>
      </c>
      <c r="B742" s="2" t="s">
        <v>9</v>
      </c>
      <c r="C742" s="2" t="s">
        <v>10</v>
      </c>
      <c r="D742" s="5">
        <v>792.6</v>
      </c>
      <c r="E742" s="5">
        <v>5.0</v>
      </c>
      <c r="F742" s="6">
        <v>3963.0</v>
      </c>
      <c r="G742" s="2" t="s">
        <v>2296</v>
      </c>
      <c r="H742" s="2" t="s">
        <v>2297</v>
      </c>
      <c r="I742" s="2" t="s">
        <v>2298</v>
      </c>
    </row>
    <row r="743" ht="15.75" customHeight="1">
      <c r="A743" s="1">
        <v>45655.0</v>
      </c>
      <c r="B743" s="2" t="s">
        <v>9</v>
      </c>
      <c r="C743" s="2" t="s">
        <v>183</v>
      </c>
      <c r="D743" s="5">
        <v>1811.9</v>
      </c>
      <c r="E743" s="5">
        <v>1.0</v>
      </c>
      <c r="F743" s="6">
        <v>1811.9</v>
      </c>
      <c r="G743" s="2" t="s">
        <v>2299</v>
      </c>
      <c r="H743" s="2" t="s">
        <v>2300</v>
      </c>
      <c r="I743" s="2" t="s">
        <v>2301</v>
      </c>
    </row>
    <row r="744" ht="15.75" customHeight="1">
      <c r="A744" s="1">
        <v>45656.0</v>
      </c>
      <c r="B744" s="2" t="s">
        <v>57</v>
      </c>
      <c r="C744" s="2" t="s">
        <v>49</v>
      </c>
      <c r="D744" s="5">
        <v>895.6</v>
      </c>
      <c r="E744" s="5">
        <v>3.0</v>
      </c>
      <c r="F744" s="6">
        <v>2686.8</v>
      </c>
      <c r="G744" s="2" t="s">
        <v>2302</v>
      </c>
      <c r="H744" s="2" t="s">
        <v>2303</v>
      </c>
      <c r="I744" s="2" t="s">
        <v>2304</v>
      </c>
    </row>
    <row r="745" ht="15.75" customHeight="1">
      <c r="A745" s="1">
        <v>45656.0</v>
      </c>
      <c r="B745" s="2" t="s">
        <v>74</v>
      </c>
      <c r="C745" s="2" t="s">
        <v>662</v>
      </c>
      <c r="D745" s="5">
        <v>2064.92</v>
      </c>
      <c r="E745" s="5">
        <v>3.0</v>
      </c>
      <c r="F745" s="6">
        <v>6194.76</v>
      </c>
      <c r="G745" s="2" t="s">
        <v>2305</v>
      </c>
      <c r="H745" s="2" t="s">
        <v>2306</v>
      </c>
      <c r="I745" s="7" t="s">
        <v>2307</v>
      </c>
    </row>
    <row r="746" ht="15.75" customHeight="1">
      <c r="A746" s="1">
        <v>45656.0</v>
      </c>
      <c r="B746" s="2" t="s">
        <v>9</v>
      </c>
      <c r="C746" s="2" t="s">
        <v>30</v>
      </c>
      <c r="D746" s="5">
        <v>2149.59</v>
      </c>
      <c r="E746" s="5">
        <v>4.0</v>
      </c>
      <c r="F746" s="6">
        <v>8598.36</v>
      </c>
      <c r="G746" s="2" t="s">
        <v>2308</v>
      </c>
      <c r="H746" s="2" t="s">
        <v>2309</v>
      </c>
      <c r="I746" s="2" t="s">
        <v>2310</v>
      </c>
    </row>
    <row r="747" ht="15.75" customHeight="1">
      <c r="A747" s="1">
        <v>45656.0</v>
      </c>
      <c r="B747" s="2" t="s">
        <v>34</v>
      </c>
      <c r="C747" s="2" t="s">
        <v>35</v>
      </c>
      <c r="D747" s="5">
        <v>619.4</v>
      </c>
      <c r="E747" s="5">
        <v>1.0</v>
      </c>
      <c r="F747" s="6">
        <v>619.4</v>
      </c>
      <c r="G747" s="2" t="s">
        <v>2311</v>
      </c>
      <c r="H747" s="2" t="s">
        <v>2312</v>
      </c>
      <c r="I747" s="2" t="s">
        <v>2313</v>
      </c>
    </row>
    <row r="748" ht="15.75" customHeight="1">
      <c r="A748" s="1">
        <v>45656.0</v>
      </c>
      <c r="B748" s="2" t="s">
        <v>9</v>
      </c>
      <c r="C748" s="2" t="s">
        <v>39</v>
      </c>
      <c r="D748" s="5">
        <v>2086.06</v>
      </c>
      <c r="E748" s="5">
        <v>1.0</v>
      </c>
      <c r="F748" s="6">
        <v>2086.06</v>
      </c>
      <c r="G748" s="2" t="s">
        <v>2314</v>
      </c>
      <c r="H748" s="2" t="s">
        <v>2315</v>
      </c>
      <c r="I748" s="2" t="s">
        <v>2316</v>
      </c>
    </row>
    <row r="749" ht="15.75" customHeight="1">
      <c r="A749" s="1">
        <v>45656.0</v>
      </c>
      <c r="B749" s="2" t="s">
        <v>9</v>
      </c>
      <c r="C749" s="2" t="s">
        <v>79</v>
      </c>
      <c r="D749" s="5">
        <v>2019.54</v>
      </c>
      <c r="E749" s="5">
        <v>3.0</v>
      </c>
      <c r="F749" s="6">
        <v>6058.62</v>
      </c>
      <c r="G749" s="2" t="s">
        <v>2317</v>
      </c>
      <c r="H749" s="2" t="s">
        <v>2318</v>
      </c>
      <c r="I749" s="2" t="s">
        <v>2319</v>
      </c>
    </row>
    <row r="750" ht="15.75" customHeight="1">
      <c r="A750" s="1">
        <v>45656.0</v>
      </c>
      <c r="B750" s="2" t="s">
        <v>57</v>
      </c>
      <c r="C750" s="2" t="s">
        <v>39</v>
      </c>
      <c r="D750" s="5">
        <v>823.08</v>
      </c>
      <c r="E750" s="5">
        <v>4.0</v>
      </c>
      <c r="F750" s="6">
        <v>3292.32</v>
      </c>
      <c r="G750" s="2" t="s">
        <v>2320</v>
      </c>
      <c r="H750" s="2" t="s">
        <v>2321</v>
      </c>
      <c r="I750" s="2" t="s">
        <v>2322</v>
      </c>
    </row>
    <row r="751" ht="15.75" customHeight="1">
      <c r="A751" s="1">
        <v>45657.0</v>
      </c>
      <c r="B751" s="2" t="s">
        <v>74</v>
      </c>
      <c r="C751" s="2" t="s">
        <v>308</v>
      </c>
      <c r="D751" s="5">
        <v>1721.22</v>
      </c>
      <c r="E751" s="5">
        <v>4.0</v>
      </c>
      <c r="F751" s="6">
        <v>6884.88</v>
      </c>
      <c r="G751" s="2" t="s">
        <v>2323</v>
      </c>
      <c r="H751" s="2" t="s">
        <v>2324</v>
      </c>
      <c r="I751" s="2" t="s">
        <v>2325</v>
      </c>
    </row>
    <row r="752" ht="15.75" customHeight="1">
      <c r="A752" s="1">
        <v>45657.0</v>
      </c>
      <c r="B752" s="2" t="s">
        <v>57</v>
      </c>
      <c r="C752" s="2" t="s">
        <v>39</v>
      </c>
      <c r="D752" s="5">
        <v>134.89</v>
      </c>
      <c r="E752" s="5">
        <v>5.0</v>
      </c>
      <c r="F752" s="6">
        <v>674.45</v>
      </c>
      <c r="G752" s="2" t="s">
        <v>2326</v>
      </c>
      <c r="H752" s="2" t="s">
        <v>2327</v>
      </c>
      <c r="I752" s="2" t="s">
        <v>2328</v>
      </c>
    </row>
    <row r="753" ht="15.75" customHeight="1">
      <c r="A753" s="1">
        <v>45657.0</v>
      </c>
      <c r="B753" s="2" t="s">
        <v>74</v>
      </c>
      <c r="C753" s="2" t="s">
        <v>427</v>
      </c>
      <c r="D753" s="5">
        <v>1545.28</v>
      </c>
      <c r="E753" s="5">
        <v>2.0</v>
      </c>
      <c r="F753" s="6">
        <v>3090.56</v>
      </c>
      <c r="G753" s="2" t="s">
        <v>2329</v>
      </c>
      <c r="H753" s="2" t="s">
        <v>2330</v>
      </c>
      <c r="I753" s="2" t="s">
        <v>2331</v>
      </c>
    </row>
    <row r="754" ht="15.75" customHeight="1">
      <c r="A754" s="1">
        <v>45657.0</v>
      </c>
      <c r="B754" s="2" t="s">
        <v>57</v>
      </c>
      <c r="C754" s="2" t="s">
        <v>30</v>
      </c>
      <c r="D754" s="5">
        <v>807.96</v>
      </c>
      <c r="E754" s="5">
        <v>2.0</v>
      </c>
      <c r="F754" s="6">
        <v>1615.92</v>
      </c>
      <c r="G754" s="2" t="s">
        <v>2332</v>
      </c>
      <c r="H754" s="2" t="s">
        <v>2333</v>
      </c>
      <c r="I754" s="2" t="s">
        <v>2334</v>
      </c>
    </row>
    <row r="755" ht="15.75" customHeight="1">
      <c r="A755" s="9"/>
    </row>
    <row r="756" ht="15.75" customHeight="1">
      <c r="A756" s="10"/>
    </row>
    <row r="757" ht="15.75" customHeight="1">
      <c r="A757" s="9"/>
    </row>
    <row r="758" ht="15.75" customHeight="1">
      <c r="A758" s="9"/>
    </row>
    <row r="759" ht="15.75" customHeight="1">
      <c r="A759" s="10"/>
    </row>
    <row r="760" ht="15.75" customHeight="1">
      <c r="A760" s="9"/>
    </row>
    <row r="761" ht="15.75" customHeight="1">
      <c r="A761" s="10"/>
    </row>
    <row r="762" ht="15.75" customHeight="1">
      <c r="A762" s="10"/>
    </row>
    <row r="763" ht="15.75" customHeight="1">
      <c r="A763" s="10"/>
    </row>
    <row r="764" ht="15.75" customHeight="1">
      <c r="A764" s="9"/>
      <c r="I764" s="11"/>
    </row>
    <row r="765" ht="15.75" customHeight="1">
      <c r="A765" s="9"/>
    </row>
    <row r="766" ht="15.75" customHeight="1">
      <c r="A766" s="9"/>
    </row>
    <row r="767" ht="15.75" customHeight="1">
      <c r="A767" s="9"/>
    </row>
    <row r="768" ht="15.75" customHeight="1">
      <c r="A768" s="9"/>
    </row>
    <row r="769" ht="15.75" customHeight="1">
      <c r="A769" s="9"/>
    </row>
    <row r="770" ht="15.75" customHeight="1">
      <c r="A770" s="9"/>
    </row>
    <row r="771" ht="15.75" customHeight="1">
      <c r="A771" s="9"/>
    </row>
    <row r="772" ht="15.75" customHeight="1">
      <c r="A772" s="10"/>
    </row>
    <row r="773" ht="15.75" customHeight="1">
      <c r="A773" s="10"/>
    </row>
    <row r="774" ht="15.75" customHeight="1">
      <c r="A774" s="10"/>
    </row>
    <row r="775" ht="15.75" customHeight="1">
      <c r="A775" s="10"/>
    </row>
    <row r="776" ht="15.75" customHeight="1">
      <c r="A776" s="10"/>
    </row>
    <row r="777" ht="15.75" customHeight="1">
      <c r="A777" s="10"/>
    </row>
    <row r="778" ht="15.75" customHeight="1">
      <c r="A778" s="10"/>
    </row>
    <row r="779" ht="15.75" customHeight="1">
      <c r="A779" s="10"/>
    </row>
    <row r="780" ht="15.75" customHeight="1">
      <c r="A780" s="9"/>
    </row>
    <row r="781" ht="15.75" customHeight="1">
      <c r="A781" s="9"/>
    </row>
    <row r="782" ht="15.75" customHeight="1">
      <c r="A782" s="10"/>
    </row>
    <row r="783" ht="15.75" customHeight="1">
      <c r="A783" s="9"/>
    </row>
    <row r="784" ht="15.75" customHeight="1">
      <c r="A784" s="9"/>
    </row>
    <row r="785" ht="15.75" customHeight="1">
      <c r="A785" s="10"/>
    </row>
    <row r="786" ht="15.75" customHeight="1">
      <c r="A786" s="10"/>
    </row>
    <row r="787" ht="15.75" customHeight="1">
      <c r="A787" s="10"/>
      <c r="I787" s="11"/>
    </row>
    <row r="788" ht="15.75" customHeight="1">
      <c r="A788" s="10"/>
    </row>
    <row r="789" ht="15.75" customHeight="1">
      <c r="A789" s="10"/>
    </row>
    <row r="790" ht="15.75" customHeight="1">
      <c r="A790" s="10"/>
    </row>
    <row r="791" ht="15.75" customHeight="1">
      <c r="A791" s="10"/>
    </row>
    <row r="792" ht="15.75" customHeight="1">
      <c r="A792" s="9"/>
    </row>
    <row r="793" ht="15.75" customHeight="1">
      <c r="A793" s="10"/>
    </row>
    <row r="794" ht="15.75" customHeight="1">
      <c r="A794" s="9"/>
    </row>
    <row r="795" ht="15.75" customHeight="1">
      <c r="A795" s="10"/>
    </row>
    <row r="796" ht="15.75" customHeight="1">
      <c r="A796" s="10"/>
    </row>
    <row r="797" ht="15.75" customHeight="1">
      <c r="A797" s="9"/>
    </row>
    <row r="798" ht="15.75" customHeight="1">
      <c r="A798" s="10"/>
    </row>
    <row r="799" ht="15.75" customHeight="1">
      <c r="A799" s="10"/>
      <c r="I799" s="11"/>
    </row>
    <row r="800" ht="15.75" customHeight="1">
      <c r="A800" s="9"/>
    </row>
    <row r="801" ht="15.75" customHeight="1">
      <c r="A801" s="10"/>
    </row>
    <row r="802" ht="15.75" customHeight="1">
      <c r="A802" s="10"/>
    </row>
    <row r="803" ht="15.75" customHeight="1">
      <c r="A803" s="10"/>
    </row>
    <row r="804" ht="15.75" customHeight="1">
      <c r="A804" s="10"/>
    </row>
    <row r="805" ht="15.75" customHeight="1">
      <c r="A805" s="9"/>
    </row>
    <row r="806" ht="15.75" customHeight="1">
      <c r="A806" s="9"/>
    </row>
    <row r="807" ht="15.75" customHeight="1">
      <c r="A807" s="10"/>
    </row>
    <row r="808" ht="15.75" customHeight="1">
      <c r="A808" s="9"/>
    </row>
    <row r="809" ht="15.75" customHeight="1">
      <c r="A809" s="10"/>
    </row>
    <row r="810" ht="15.75" customHeight="1">
      <c r="A810" s="10"/>
    </row>
    <row r="811" ht="15.75" customHeight="1">
      <c r="A811" s="10"/>
    </row>
    <row r="812" ht="15.75" customHeight="1">
      <c r="A812" s="10"/>
    </row>
    <row r="813" ht="15.75" customHeight="1">
      <c r="A813" s="10"/>
    </row>
    <row r="814" ht="15.75" customHeight="1">
      <c r="A814" s="9"/>
    </row>
    <row r="815" ht="15.75" customHeight="1">
      <c r="A815" s="10"/>
    </row>
    <row r="816" ht="15.75" customHeight="1">
      <c r="A816" s="10"/>
    </row>
    <row r="817" ht="15.75" customHeight="1">
      <c r="A817" s="9"/>
    </row>
    <row r="818" ht="15.75" customHeight="1">
      <c r="A818" s="10"/>
    </row>
    <row r="819" ht="15.75" customHeight="1">
      <c r="A819" s="10"/>
    </row>
    <row r="820" ht="15.75" customHeight="1">
      <c r="A820" s="9"/>
    </row>
    <row r="821" ht="15.75" customHeight="1">
      <c r="A821" s="9"/>
    </row>
    <row r="822" ht="15.75" customHeight="1">
      <c r="A822" s="9"/>
    </row>
    <row r="823" ht="15.75" customHeight="1">
      <c r="A823" s="9"/>
    </row>
    <row r="824" ht="15.75" customHeight="1">
      <c r="A824" s="10"/>
    </row>
    <row r="825" ht="15.75" customHeight="1">
      <c r="A825" s="10"/>
    </row>
    <row r="826" ht="15.75" customHeight="1">
      <c r="A826" s="10"/>
    </row>
    <row r="827" ht="15.75" customHeight="1">
      <c r="A827" s="10"/>
    </row>
    <row r="828" ht="15.75" customHeight="1">
      <c r="A828" s="10"/>
    </row>
    <row r="829" ht="15.75" customHeight="1">
      <c r="A829" s="9"/>
    </row>
    <row r="830" ht="15.75" customHeight="1">
      <c r="A830" s="9"/>
    </row>
    <row r="831" ht="15.75" customHeight="1">
      <c r="A831" s="10"/>
    </row>
    <row r="832" ht="15.75" customHeight="1">
      <c r="A832" s="10"/>
    </row>
    <row r="833" ht="15.75" customHeight="1">
      <c r="A833" s="10"/>
    </row>
    <row r="834" ht="15.75" customHeight="1">
      <c r="A834" s="9"/>
    </row>
    <row r="835" ht="15.75" customHeight="1">
      <c r="A835" s="10"/>
    </row>
    <row r="836" ht="15.75" customHeight="1">
      <c r="A836" s="12"/>
    </row>
    <row r="837" ht="15.75" customHeight="1">
      <c r="A837" s="9"/>
      <c r="I837" s="11"/>
    </row>
    <row r="838" ht="15.75" customHeight="1">
      <c r="A838" s="10"/>
    </row>
    <row r="839" ht="15.75" customHeight="1">
      <c r="A839" s="10"/>
    </row>
    <row r="840" ht="15.75" customHeight="1">
      <c r="A840" s="10"/>
    </row>
    <row r="841" ht="15.75" customHeight="1">
      <c r="A841" s="10"/>
    </row>
    <row r="842" ht="15.75" customHeight="1">
      <c r="A842" s="10"/>
    </row>
    <row r="843" ht="15.75" customHeight="1">
      <c r="A843" s="10"/>
    </row>
    <row r="844" ht="15.75" customHeight="1">
      <c r="A844" s="9"/>
    </row>
    <row r="845" ht="15.75" customHeight="1">
      <c r="A845" s="10"/>
    </row>
    <row r="846" ht="15.75" customHeight="1">
      <c r="A846" s="10"/>
    </row>
    <row r="847" ht="15.75" customHeight="1">
      <c r="A847" s="9"/>
    </row>
    <row r="848" ht="15.75" customHeight="1">
      <c r="A848" s="9"/>
    </row>
    <row r="849" ht="15.75" customHeight="1">
      <c r="A849" s="10"/>
    </row>
    <row r="850" ht="15.75" customHeight="1">
      <c r="A850" s="10"/>
    </row>
    <row r="851" ht="15.75" customHeight="1">
      <c r="A851" s="10"/>
    </row>
    <row r="852" ht="15.75" customHeight="1">
      <c r="A852" s="10"/>
    </row>
    <row r="853" ht="15.75" customHeight="1">
      <c r="A853" s="10"/>
    </row>
    <row r="854" ht="15.75" customHeight="1">
      <c r="A854" s="9"/>
    </row>
    <row r="855" ht="15.75" customHeight="1">
      <c r="A855" s="10"/>
    </row>
    <row r="856" ht="15.75" customHeight="1">
      <c r="A856" s="9"/>
    </row>
    <row r="857" ht="15.75" customHeight="1">
      <c r="A857" s="10"/>
    </row>
    <row r="858" ht="15.75" customHeight="1">
      <c r="A858" s="10"/>
    </row>
    <row r="859" ht="15.75" customHeight="1">
      <c r="A859" s="10"/>
    </row>
    <row r="860" ht="15.75" customHeight="1">
      <c r="A860" s="10"/>
    </row>
    <row r="861" ht="15.75" customHeight="1">
      <c r="A861" s="9"/>
    </row>
    <row r="862" ht="15.75" customHeight="1">
      <c r="A862" s="10"/>
    </row>
    <row r="863" ht="15.75" customHeight="1">
      <c r="A863" s="9"/>
    </row>
    <row r="864" ht="15.75" customHeight="1">
      <c r="A864" s="9"/>
    </row>
    <row r="865" ht="15.75" customHeight="1">
      <c r="A865" s="9"/>
    </row>
    <row r="866" ht="15.75" customHeight="1">
      <c r="A866" s="9"/>
    </row>
    <row r="867" ht="15.75" customHeight="1">
      <c r="A867" s="10"/>
    </row>
    <row r="868" ht="15.75" customHeight="1">
      <c r="A868" s="10"/>
    </row>
    <row r="869" ht="15.75" customHeight="1">
      <c r="A869" s="10"/>
    </row>
    <row r="870" ht="15.75" customHeight="1">
      <c r="A870" s="9"/>
    </row>
    <row r="871" ht="15.75" customHeight="1">
      <c r="A871" s="9"/>
    </row>
    <row r="872" ht="15.75" customHeight="1">
      <c r="A872" s="9"/>
    </row>
    <row r="873" ht="15.75" customHeight="1">
      <c r="A873" s="10"/>
    </row>
    <row r="874" ht="15.75" customHeight="1">
      <c r="A874" s="10"/>
    </row>
    <row r="875" ht="15.75" customHeight="1">
      <c r="A875" s="9"/>
    </row>
    <row r="876" ht="15.75" customHeight="1">
      <c r="A876" s="10"/>
    </row>
    <row r="877" ht="15.75" customHeight="1">
      <c r="A877" s="9"/>
    </row>
    <row r="878" ht="15.75" customHeight="1">
      <c r="A878" s="10"/>
    </row>
    <row r="879" ht="15.75" customHeight="1">
      <c r="A879" s="9"/>
    </row>
    <row r="880" ht="15.75" customHeight="1">
      <c r="A880" s="10"/>
    </row>
    <row r="881" ht="15.75" customHeight="1">
      <c r="A881" s="10"/>
    </row>
    <row r="882" ht="15.75" customHeight="1">
      <c r="A882" s="9"/>
    </row>
    <row r="883" ht="15.75" customHeight="1">
      <c r="A883" s="9"/>
    </row>
    <row r="884" ht="15.75" customHeight="1">
      <c r="A884" s="10"/>
    </row>
    <row r="885" ht="15.75" customHeight="1">
      <c r="A885" s="9"/>
    </row>
    <row r="886" ht="15.75" customHeight="1">
      <c r="A886" s="9"/>
    </row>
    <row r="887" ht="15.75" customHeight="1">
      <c r="A887" s="9"/>
    </row>
    <row r="888" ht="15.75" customHeight="1">
      <c r="A888" s="10"/>
    </row>
    <row r="889" ht="15.75" customHeight="1">
      <c r="A889" s="9"/>
    </row>
    <row r="890" ht="15.75" customHeight="1">
      <c r="A890" s="10"/>
    </row>
    <row r="891" ht="15.75" customHeight="1">
      <c r="A891" s="9"/>
    </row>
    <row r="892" ht="15.75" customHeight="1">
      <c r="A892" s="9"/>
    </row>
    <row r="893" ht="15.75" customHeight="1">
      <c r="A893" s="9"/>
    </row>
    <row r="894" ht="15.75" customHeight="1">
      <c r="A894" s="10"/>
    </row>
    <row r="895" ht="15.75" customHeight="1">
      <c r="A895" s="10"/>
    </row>
    <row r="896" ht="15.75" customHeight="1">
      <c r="A896" s="10"/>
    </row>
    <row r="897" ht="15.75" customHeight="1">
      <c r="A897" s="9"/>
    </row>
    <row r="898" ht="15.75" customHeight="1">
      <c r="A898" s="10"/>
    </row>
    <row r="899" ht="15.75" customHeight="1">
      <c r="A899" s="9"/>
    </row>
    <row r="900" ht="15.75" customHeight="1">
      <c r="A900" s="10"/>
    </row>
    <row r="901" ht="15.75" customHeight="1">
      <c r="A901" s="10"/>
    </row>
    <row r="902" ht="15.75" customHeight="1">
      <c r="A902" s="10"/>
    </row>
    <row r="903" ht="15.75" customHeight="1">
      <c r="A903" s="10"/>
    </row>
    <row r="904" ht="15.75" customHeight="1">
      <c r="A904" s="9"/>
    </row>
    <row r="905" ht="15.75" customHeight="1">
      <c r="A905" s="9"/>
    </row>
    <row r="906" ht="15.75" customHeight="1">
      <c r="A906" s="9"/>
    </row>
    <row r="907" ht="15.75" customHeight="1">
      <c r="A907" s="9"/>
    </row>
    <row r="908" ht="15.75" customHeight="1">
      <c r="A908" s="9"/>
    </row>
    <row r="909" ht="15.75" customHeight="1">
      <c r="A909" s="10"/>
    </row>
    <row r="910" ht="15.75" customHeight="1">
      <c r="A910" s="10"/>
    </row>
    <row r="911" ht="15.75" customHeight="1">
      <c r="A911" s="10"/>
    </row>
    <row r="912" ht="15.75" customHeight="1">
      <c r="A912" s="10"/>
      <c r="I912" s="11"/>
    </row>
    <row r="913" ht="15.75" customHeight="1">
      <c r="A913" s="10"/>
    </row>
    <row r="914" ht="15.75" customHeight="1">
      <c r="A914" s="10"/>
    </row>
    <row r="915" ht="15.75" customHeight="1">
      <c r="A915" s="10"/>
    </row>
    <row r="916" ht="15.75" customHeight="1">
      <c r="A916" s="9"/>
    </row>
    <row r="917" ht="15.75" customHeight="1">
      <c r="A917" s="10"/>
    </row>
    <row r="918" ht="15.75" customHeight="1">
      <c r="A918" s="10"/>
    </row>
    <row r="919" ht="15.75" customHeight="1">
      <c r="A919" s="10"/>
    </row>
    <row r="920" ht="15.75" customHeight="1">
      <c r="A920" s="10"/>
    </row>
    <row r="921" ht="15.75" customHeight="1">
      <c r="A921" s="9"/>
    </row>
    <row r="922" ht="15.75" customHeight="1">
      <c r="A922" s="9"/>
    </row>
    <row r="923" ht="15.75" customHeight="1">
      <c r="A923" s="10"/>
    </row>
    <row r="924" ht="15.75" customHeight="1">
      <c r="A924" s="10"/>
    </row>
    <row r="925" ht="15.75" customHeight="1">
      <c r="A925" s="10"/>
    </row>
    <row r="926" ht="15.75" customHeight="1">
      <c r="A926" s="10"/>
    </row>
    <row r="927" ht="15.75" customHeight="1">
      <c r="A927" s="9"/>
    </row>
    <row r="928" ht="15.75" customHeight="1">
      <c r="A928" s="10"/>
    </row>
    <row r="929" ht="15.75" customHeight="1">
      <c r="A929" s="9"/>
    </row>
    <row r="930" ht="15.75" customHeight="1">
      <c r="A930" s="10"/>
    </row>
    <row r="931" ht="15.75" customHeight="1">
      <c r="A931" s="10"/>
    </row>
    <row r="932" ht="15.75" customHeight="1">
      <c r="A932" s="9"/>
    </row>
    <row r="933" ht="15.75" customHeight="1">
      <c r="A933" s="9"/>
    </row>
    <row r="934" ht="15.75" customHeight="1">
      <c r="A934" s="9"/>
    </row>
    <row r="935" ht="15.75" customHeight="1">
      <c r="A935" s="9"/>
    </row>
    <row r="936" ht="15.75" customHeight="1">
      <c r="A936" s="9"/>
    </row>
    <row r="937" ht="15.75" customHeight="1">
      <c r="A937" s="10"/>
    </row>
    <row r="938" ht="15.75" customHeight="1">
      <c r="A938" s="10"/>
    </row>
    <row r="939" ht="15.75" customHeight="1">
      <c r="A939" s="10"/>
    </row>
    <row r="940" ht="15.75" customHeight="1">
      <c r="A940" s="10"/>
    </row>
    <row r="941" ht="15.75" customHeight="1">
      <c r="A941" s="10"/>
    </row>
    <row r="942" ht="15.75" customHeight="1">
      <c r="A942" s="10"/>
    </row>
    <row r="943" ht="15.75" customHeight="1">
      <c r="A943" s="10"/>
    </row>
    <row r="944" ht="15.75" customHeight="1">
      <c r="A944" s="10"/>
    </row>
    <row r="945" ht="15.75" customHeight="1">
      <c r="A945" s="10"/>
    </row>
    <row r="946" ht="15.75" customHeight="1">
      <c r="A946" s="10"/>
    </row>
    <row r="947" ht="15.75" customHeight="1">
      <c r="A947" s="10"/>
    </row>
    <row r="948" ht="15.75" customHeight="1">
      <c r="A948" s="10"/>
    </row>
    <row r="949" ht="15.75" customHeight="1">
      <c r="A949" s="10"/>
    </row>
    <row r="950" ht="15.75" customHeight="1">
      <c r="A950" s="10"/>
    </row>
    <row r="951" ht="15.75" customHeight="1">
      <c r="A951" s="10"/>
    </row>
    <row r="952" ht="15.75" customHeight="1">
      <c r="A952" s="10"/>
    </row>
    <row r="953" ht="15.75" customHeight="1">
      <c r="A953" s="10"/>
    </row>
    <row r="954" ht="15.75" customHeight="1">
      <c r="A954" s="10"/>
    </row>
    <row r="955" ht="15.75" customHeight="1">
      <c r="A955" s="10"/>
    </row>
    <row r="956" ht="15.75" customHeight="1">
      <c r="A956" s="10"/>
    </row>
    <row r="957" ht="15.75" customHeight="1">
      <c r="A957" s="10"/>
    </row>
    <row r="958" ht="15.75" customHeight="1">
      <c r="A958" s="10"/>
    </row>
    <row r="959" ht="15.75" customHeight="1">
      <c r="A959" s="10"/>
    </row>
    <row r="960" ht="15.75" customHeight="1">
      <c r="A960" s="10"/>
    </row>
    <row r="961" ht="15.75" customHeight="1">
      <c r="A961" s="10"/>
    </row>
    <row r="962" ht="15.75" customHeight="1">
      <c r="A962" s="10"/>
    </row>
    <row r="963" ht="15.75" customHeight="1">
      <c r="A963" s="10"/>
    </row>
    <row r="964" ht="15.75" customHeight="1">
      <c r="A964" s="10"/>
    </row>
    <row r="965" ht="15.75" customHeight="1">
      <c r="A965" s="10"/>
    </row>
    <row r="966" ht="15.75" customHeight="1">
      <c r="A966" s="10"/>
    </row>
    <row r="967" ht="15.75" customHeight="1">
      <c r="A967" s="10"/>
    </row>
    <row r="968" ht="15.75" customHeight="1">
      <c r="A968" s="10"/>
    </row>
    <row r="969" ht="15.75" customHeight="1">
      <c r="A969" s="10"/>
    </row>
    <row r="970" ht="15.75" customHeight="1">
      <c r="A970" s="10"/>
    </row>
    <row r="971" ht="15.75" customHeight="1">
      <c r="A971" s="10"/>
    </row>
    <row r="972" ht="15.75" customHeight="1">
      <c r="A972" s="10"/>
    </row>
    <row r="973" ht="15.75" customHeight="1">
      <c r="A973" s="10"/>
    </row>
    <row r="974" ht="15.75" customHeight="1">
      <c r="A974" s="10"/>
    </row>
    <row r="975" ht="15.75" customHeight="1">
      <c r="A975" s="10"/>
    </row>
    <row r="976" ht="15.75" customHeight="1">
      <c r="A976" s="10"/>
    </row>
    <row r="977" ht="15.75" customHeight="1">
      <c r="A977" s="10"/>
    </row>
    <row r="978" ht="15.75" customHeight="1">
      <c r="A978" s="10"/>
    </row>
    <row r="979" ht="15.75" customHeight="1">
      <c r="A979" s="10"/>
    </row>
    <row r="980" ht="15.75" customHeight="1">
      <c r="A980" s="10"/>
    </row>
    <row r="981" ht="15.75" customHeight="1">
      <c r="A981" s="10"/>
    </row>
    <row r="982" ht="15.75" customHeight="1">
      <c r="A982" s="10"/>
    </row>
    <row r="983" ht="15.75" customHeight="1">
      <c r="A983" s="10"/>
    </row>
    <row r="984" ht="15.75" customHeight="1">
      <c r="A984" s="10"/>
    </row>
    <row r="985" ht="15.75" customHeight="1">
      <c r="A985" s="10"/>
    </row>
    <row r="986" ht="15.75" customHeight="1">
      <c r="A986" s="10"/>
    </row>
    <row r="987" ht="15.75" customHeight="1">
      <c r="A987" s="10"/>
    </row>
    <row r="988" ht="15.75" customHeight="1">
      <c r="A988" s="9"/>
    </row>
    <row r="989" ht="15.75" customHeight="1">
      <c r="A989" s="10"/>
    </row>
    <row r="990" ht="15.75" customHeight="1">
      <c r="A990" s="10"/>
    </row>
    <row r="991" ht="15.75" customHeight="1">
      <c r="A991" s="10"/>
    </row>
    <row r="992" ht="15.75" customHeight="1">
      <c r="A992" s="9"/>
    </row>
    <row r="993" ht="15.75" customHeight="1">
      <c r="A993" s="10"/>
    </row>
    <row r="994" ht="15.75" customHeight="1">
      <c r="A994" s="10"/>
    </row>
    <row r="995" ht="15.75" customHeight="1">
      <c r="A995" s="10"/>
    </row>
    <row r="996" ht="15.75" customHeight="1">
      <c r="A996" s="9"/>
    </row>
    <row r="997" ht="15.75" customHeight="1">
      <c r="A997" s="10"/>
    </row>
    <row r="998" ht="15.75" customHeight="1">
      <c r="A998" s="10"/>
    </row>
    <row r="999" ht="15.75" customHeight="1">
      <c r="A999" s="10"/>
    </row>
    <row r="1000" ht="15.75" customHeight="1">
      <c r="A1000" s="10"/>
    </row>
    <row r="1001" ht="15.75" customHeight="1">
      <c r="A1001" s="1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sheetViews>
  <sheetFormatPr customHeight="1" defaultColWidth="11.22" defaultRowHeight="15.0"/>
  <cols>
    <col customWidth="1" min="1" max="1" width="16.0"/>
    <col customWidth="1" hidden="1" min="2" max="2" width="13.89"/>
    <col customWidth="1" min="3" max="3" width="17.78"/>
    <col customWidth="1" min="4" max="4" width="14.67"/>
    <col customWidth="1" min="5" max="9" width="10.56"/>
    <col customWidth="1" min="10" max="10" width="35.0"/>
    <col customWidth="1" min="11" max="11" width="30.89"/>
    <col customWidth="1" min="12" max="12" width="34.89"/>
    <col customWidth="1" min="13" max="29" width="10.56"/>
  </cols>
  <sheetData>
    <row r="1" ht="15.75" customHeight="1">
      <c r="A1" s="13" t="s">
        <v>0</v>
      </c>
      <c r="B1" s="2" t="s">
        <v>1</v>
      </c>
      <c r="C1" s="14" t="s">
        <v>2335</v>
      </c>
      <c r="D1" s="14" t="s">
        <v>2336</v>
      </c>
      <c r="E1" s="14" t="s">
        <v>2337</v>
      </c>
      <c r="F1" s="14" t="s">
        <v>2338</v>
      </c>
      <c r="G1" s="15" t="s">
        <v>3</v>
      </c>
      <c r="H1" s="2" t="s">
        <v>4</v>
      </c>
      <c r="I1" s="16" t="s">
        <v>5</v>
      </c>
      <c r="J1" s="2" t="s">
        <v>6</v>
      </c>
      <c r="K1" s="2" t="s">
        <v>7</v>
      </c>
      <c r="L1" s="2" t="s">
        <v>8</v>
      </c>
      <c r="M1" s="17" t="s">
        <v>2339</v>
      </c>
      <c r="N1" s="17" t="s">
        <v>2339</v>
      </c>
      <c r="O1" s="17" t="s">
        <v>2339</v>
      </c>
      <c r="P1" s="17" t="s">
        <v>2339</v>
      </c>
      <c r="Q1" s="17" t="s">
        <v>2339</v>
      </c>
      <c r="R1" s="17" t="s">
        <v>2339</v>
      </c>
      <c r="S1" s="17" t="s">
        <v>2339</v>
      </c>
      <c r="T1" s="17" t="s">
        <v>2339</v>
      </c>
      <c r="U1" s="17" t="s">
        <v>2339</v>
      </c>
      <c r="V1" s="17" t="s">
        <v>2339</v>
      </c>
      <c r="W1" s="17" t="s">
        <v>2339</v>
      </c>
      <c r="X1" s="17" t="s">
        <v>2339</v>
      </c>
      <c r="Y1" s="17" t="s">
        <v>2339</v>
      </c>
      <c r="Z1" s="17" t="s">
        <v>2339</v>
      </c>
      <c r="AA1" s="17" t="s">
        <v>2339</v>
      </c>
      <c r="AB1" s="17" t="s">
        <v>2339</v>
      </c>
      <c r="AC1" s="17" t="s">
        <v>2339</v>
      </c>
    </row>
    <row r="2" ht="15.75" customHeight="1">
      <c r="A2" s="18">
        <v>45566.0</v>
      </c>
      <c r="B2" s="3" t="s">
        <v>9</v>
      </c>
      <c r="C2" s="2" t="str">
        <f t="shared" ref="C2:C13" si="1">PROPER(B2)</f>
        <v>Monterrey</v>
      </c>
      <c r="D2" s="19" t="s">
        <v>2340</v>
      </c>
      <c r="E2" s="19" t="s">
        <v>2341</v>
      </c>
      <c r="F2" s="19" t="s">
        <v>2342</v>
      </c>
      <c r="G2" s="20">
        <v>1339.17</v>
      </c>
      <c r="H2" s="5">
        <v>2.0</v>
      </c>
      <c r="I2" s="20">
        <v>2678.34</v>
      </c>
      <c r="J2" s="2" t="s">
        <v>11</v>
      </c>
      <c r="K2" s="2" t="s">
        <v>12</v>
      </c>
      <c r="L2" s="2" t="s">
        <v>13</v>
      </c>
    </row>
    <row r="3" ht="15.75" customHeight="1">
      <c r="A3" s="13">
        <v>45566.0</v>
      </c>
      <c r="B3" s="3" t="s">
        <v>14</v>
      </c>
      <c r="C3" s="2" t="str">
        <f t="shared" si="1"/>
        <v>Bogotá</v>
      </c>
      <c r="D3" s="19" t="s">
        <v>2343</v>
      </c>
      <c r="E3" s="19" t="s">
        <v>2344</v>
      </c>
      <c r="F3" s="19" t="s">
        <v>2345</v>
      </c>
      <c r="G3" s="20">
        <v>716.29</v>
      </c>
      <c r="H3" s="5">
        <v>1.0</v>
      </c>
      <c r="I3" s="20">
        <v>716.29</v>
      </c>
      <c r="J3" s="2" t="s">
        <v>16</v>
      </c>
      <c r="K3" s="2" t="s">
        <v>17</v>
      </c>
      <c r="L3" s="2" t="s">
        <v>18</v>
      </c>
    </row>
    <row r="4" ht="15.75" customHeight="1">
      <c r="A4" s="13">
        <v>45568.0</v>
      </c>
      <c r="B4" s="3" t="s">
        <v>9</v>
      </c>
      <c r="C4" s="2" t="str">
        <f t="shared" si="1"/>
        <v>Monterrey</v>
      </c>
      <c r="D4" s="19" t="s">
        <v>2343</v>
      </c>
      <c r="E4" s="19" t="s">
        <v>2344</v>
      </c>
      <c r="F4" s="19" t="s">
        <v>2345</v>
      </c>
      <c r="G4" s="20">
        <v>439.01</v>
      </c>
      <c r="H4" s="5">
        <v>5.0</v>
      </c>
      <c r="I4" s="20">
        <v>2195.05</v>
      </c>
      <c r="J4" s="3" t="s">
        <v>19</v>
      </c>
      <c r="K4" s="2" t="s">
        <v>20</v>
      </c>
      <c r="L4" s="2" t="s">
        <v>21</v>
      </c>
    </row>
    <row r="5" ht="15.75" customHeight="1">
      <c r="A5" s="13">
        <v>45568.0</v>
      </c>
      <c r="B5" s="3" t="s">
        <v>14</v>
      </c>
      <c r="C5" s="2" t="str">
        <f t="shared" si="1"/>
        <v>Bogotá</v>
      </c>
      <c r="D5" s="19" t="s">
        <v>2340</v>
      </c>
      <c r="E5" s="19" t="s">
        <v>2341</v>
      </c>
      <c r="F5" s="19" t="s">
        <v>2346</v>
      </c>
      <c r="G5" s="20">
        <v>741.79</v>
      </c>
      <c r="H5" s="5">
        <v>2.0</v>
      </c>
      <c r="I5" s="20">
        <v>1483.58</v>
      </c>
      <c r="J5" s="2" t="s">
        <v>23</v>
      </c>
      <c r="K5" s="2" t="s">
        <v>24</v>
      </c>
      <c r="L5" s="2" t="s">
        <v>25</v>
      </c>
    </row>
    <row r="6" ht="15.75" customHeight="1">
      <c r="A6" s="13">
        <v>45568.0</v>
      </c>
      <c r="B6" s="3" t="s">
        <v>14</v>
      </c>
      <c r="C6" s="2" t="str">
        <f t="shared" si="1"/>
        <v>Bogotá</v>
      </c>
      <c r="D6" s="19" t="s">
        <v>2340</v>
      </c>
      <c r="E6" s="19" t="s">
        <v>2341</v>
      </c>
      <c r="F6" s="19" t="s">
        <v>2342</v>
      </c>
      <c r="G6" s="20">
        <v>984.34</v>
      </c>
      <c r="H6" s="5">
        <v>3.0</v>
      </c>
      <c r="I6" s="20">
        <v>2953.02</v>
      </c>
      <c r="J6" s="3" t="s">
        <v>26</v>
      </c>
      <c r="K6" s="2" t="s">
        <v>27</v>
      </c>
      <c r="L6" s="2" t="s">
        <v>28</v>
      </c>
    </row>
    <row r="7" ht="15.75" customHeight="1">
      <c r="A7" s="13">
        <v>45568.0</v>
      </c>
      <c r="B7" s="3" t="s">
        <v>29</v>
      </c>
      <c r="C7" s="2" t="str">
        <f t="shared" si="1"/>
        <v>Ciudad De Mexico</v>
      </c>
      <c r="D7" s="19" t="s">
        <v>2347</v>
      </c>
      <c r="E7" s="19" t="s">
        <v>2348</v>
      </c>
      <c r="F7" s="19" t="s">
        <v>2345</v>
      </c>
      <c r="G7" s="20">
        <v>2419.81</v>
      </c>
      <c r="H7" s="5">
        <v>5.0</v>
      </c>
      <c r="I7" s="20">
        <v>12099.05</v>
      </c>
      <c r="J7" s="3" t="s">
        <v>31</v>
      </c>
      <c r="K7" s="2" t="s">
        <v>32</v>
      </c>
      <c r="L7" s="2" t="s">
        <v>33</v>
      </c>
    </row>
    <row r="8" ht="15.75" customHeight="1">
      <c r="A8" s="13">
        <v>45568.0</v>
      </c>
      <c r="B8" s="2" t="s">
        <v>34</v>
      </c>
      <c r="C8" s="2" t="str">
        <f t="shared" si="1"/>
        <v>Medellín</v>
      </c>
      <c r="D8" s="19" t="s">
        <v>2340</v>
      </c>
      <c r="E8" s="19" t="s">
        <v>2349</v>
      </c>
      <c r="F8" s="19" t="s">
        <v>2350</v>
      </c>
      <c r="G8" s="20">
        <v>145.9</v>
      </c>
      <c r="H8" s="5">
        <v>5.0</v>
      </c>
      <c r="I8" s="20">
        <v>729.5</v>
      </c>
      <c r="J8" s="2" t="s">
        <v>36</v>
      </c>
      <c r="K8" s="2" t="s">
        <v>37</v>
      </c>
      <c r="L8" s="2" t="s">
        <v>38</v>
      </c>
    </row>
    <row r="9" ht="15.75" customHeight="1">
      <c r="A9" s="13">
        <v>45569.0</v>
      </c>
      <c r="B9" s="3" t="s">
        <v>29</v>
      </c>
      <c r="C9" s="2" t="str">
        <f t="shared" si="1"/>
        <v>Ciudad De Mexico</v>
      </c>
      <c r="D9" s="19" t="s">
        <v>2343</v>
      </c>
      <c r="E9" s="19" t="s">
        <v>2344</v>
      </c>
      <c r="F9" s="19" t="s">
        <v>2342</v>
      </c>
      <c r="G9" s="20">
        <v>1086.48</v>
      </c>
      <c r="H9" s="5">
        <v>1.0</v>
      </c>
      <c r="I9" s="20">
        <v>1086.48</v>
      </c>
      <c r="J9" s="2" t="s">
        <v>40</v>
      </c>
      <c r="K9" s="2" t="s">
        <v>41</v>
      </c>
      <c r="L9" s="2" t="s">
        <v>42</v>
      </c>
    </row>
    <row r="10" ht="15.75" customHeight="1">
      <c r="A10" s="13">
        <v>45570.0</v>
      </c>
      <c r="B10" s="3" t="s">
        <v>9</v>
      </c>
      <c r="C10" s="2" t="str">
        <f t="shared" si="1"/>
        <v>Monterrey</v>
      </c>
      <c r="D10" s="19" t="s">
        <v>2343</v>
      </c>
      <c r="E10" s="19" t="s">
        <v>2344</v>
      </c>
      <c r="F10" s="19" t="s">
        <v>2342</v>
      </c>
      <c r="G10" s="20">
        <v>1898.32</v>
      </c>
      <c r="H10" s="5">
        <v>4.0</v>
      </c>
      <c r="I10" s="20">
        <v>7593.28</v>
      </c>
      <c r="J10" s="2" t="s">
        <v>43</v>
      </c>
      <c r="K10" s="2" t="s">
        <v>44</v>
      </c>
      <c r="L10" s="2" t="s">
        <v>45</v>
      </c>
    </row>
    <row r="11" ht="15.75" customHeight="1">
      <c r="A11" s="13">
        <v>45571.0</v>
      </c>
      <c r="B11" s="3" t="s">
        <v>9</v>
      </c>
      <c r="C11" s="2" t="str">
        <f t="shared" si="1"/>
        <v>Monterrey</v>
      </c>
      <c r="D11" s="19" t="s">
        <v>2340</v>
      </c>
      <c r="E11" s="19" t="s">
        <v>2341</v>
      </c>
      <c r="F11" s="19" t="s">
        <v>2342</v>
      </c>
      <c r="G11" s="20">
        <v>1280.61</v>
      </c>
      <c r="H11" s="5">
        <v>5.0</v>
      </c>
      <c r="I11" s="21">
        <v>6403.05</v>
      </c>
      <c r="J11" s="2" t="s">
        <v>46</v>
      </c>
      <c r="K11" s="2" t="s">
        <v>47</v>
      </c>
      <c r="L11" s="7" t="s">
        <v>48</v>
      </c>
    </row>
    <row r="12" ht="15.75" customHeight="1">
      <c r="A12" s="13">
        <v>45571.0</v>
      </c>
      <c r="B12" s="2" t="s">
        <v>34</v>
      </c>
      <c r="C12" s="2" t="str">
        <f t="shared" si="1"/>
        <v>Medellín</v>
      </c>
      <c r="D12" s="19" t="s">
        <v>2340</v>
      </c>
      <c r="E12" s="19" t="s">
        <v>2341</v>
      </c>
      <c r="F12" s="19" t="s">
        <v>2345</v>
      </c>
      <c r="G12" s="20">
        <v>1753.0</v>
      </c>
      <c r="H12" s="5">
        <v>5.0</v>
      </c>
      <c r="I12" s="20">
        <v>8765.0</v>
      </c>
      <c r="J12" s="2" t="s">
        <v>50</v>
      </c>
      <c r="K12" s="2" t="s">
        <v>51</v>
      </c>
      <c r="L12" s="2" t="s">
        <v>52</v>
      </c>
    </row>
    <row r="13" ht="15.75" customHeight="1">
      <c r="A13" s="13">
        <v>45572.0</v>
      </c>
      <c r="B13" s="3" t="s">
        <v>29</v>
      </c>
      <c r="C13" s="2" t="str">
        <f t="shared" si="1"/>
        <v>Ciudad De Mexico</v>
      </c>
      <c r="D13" s="19" t="s">
        <v>2351</v>
      </c>
      <c r="E13" s="19" t="s">
        <v>2352</v>
      </c>
      <c r="F13" s="19" t="s">
        <v>2342</v>
      </c>
      <c r="G13" s="20">
        <v>370.25</v>
      </c>
      <c r="H13" s="5">
        <v>4.0</v>
      </c>
      <c r="I13" s="20">
        <v>1481.0</v>
      </c>
      <c r="J13" s="2" t="s">
        <v>54</v>
      </c>
      <c r="K13" s="2" t="s">
        <v>55</v>
      </c>
      <c r="L13" s="2" t="s">
        <v>56</v>
      </c>
    </row>
    <row r="14" ht="15.75" customHeight="1">
      <c r="A14" s="13">
        <v>45572.0</v>
      </c>
      <c r="B14" s="2" t="s">
        <v>57</v>
      </c>
      <c r="C14" s="2" t="s">
        <v>57</v>
      </c>
      <c r="D14" s="19" t="s">
        <v>2343</v>
      </c>
      <c r="E14" s="19" t="s">
        <v>2353</v>
      </c>
      <c r="F14" s="19" t="s">
        <v>2350</v>
      </c>
      <c r="G14" s="20">
        <v>62.73</v>
      </c>
      <c r="H14" s="5">
        <v>3.0</v>
      </c>
      <c r="I14" s="20">
        <v>188.19</v>
      </c>
      <c r="J14" s="2" t="s">
        <v>59</v>
      </c>
      <c r="K14" s="2" t="s">
        <v>60</v>
      </c>
      <c r="L14" s="2" t="s">
        <v>61</v>
      </c>
    </row>
    <row r="15" ht="15.75" customHeight="1">
      <c r="A15" s="13">
        <v>45573.0</v>
      </c>
      <c r="B15" s="2" t="s">
        <v>34</v>
      </c>
      <c r="C15" s="2" t="str">
        <f t="shared" ref="C15:C518" si="2">PROPER(B15)</f>
        <v>Medellín</v>
      </c>
      <c r="D15" s="19" t="s">
        <v>2351</v>
      </c>
      <c r="E15" s="19" t="s">
        <v>2354</v>
      </c>
      <c r="F15" s="19" t="s">
        <v>2350</v>
      </c>
      <c r="G15" s="20">
        <v>2314.37</v>
      </c>
      <c r="H15" s="5">
        <v>5.0</v>
      </c>
      <c r="I15" s="20">
        <v>11571.85</v>
      </c>
      <c r="J15" s="2" t="s">
        <v>63</v>
      </c>
      <c r="K15" s="2" t="s">
        <v>64</v>
      </c>
      <c r="L15" s="2" t="s">
        <v>65</v>
      </c>
    </row>
    <row r="16" ht="15.75" customHeight="1">
      <c r="A16" s="13">
        <v>45573.0</v>
      </c>
      <c r="B16" s="2" t="s">
        <v>34</v>
      </c>
      <c r="C16" s="2" t="str">
        <f t="shared" si="2"/>
        <v>Medellín</v>
      </c>
      <c r="D16" s="19" t="s">
        <v>2340</v>
      </c>
      <c r="E16" s="19" t="s">
        <v>2341</v>
      </c>
      <c r="F16" s="19" t="s">
        <v>2350</v>
      </c>
      <c r="G16" s="20">
        <v>2168.25</v>
      </c>
      <c r="H16" s="5">
        <v>3.0</v>
      </c>
      <c r="I16" s="20">
        <v>6504.75</v>
      </c>
      <c r="J16" s="2" t="s">
        <v>67</v>
      </c>
      <c r="K16" s="2" t="s">
        <v>68</v>
      </c>
      <c r="L16" s="2" t="s">
        <v>69</v>
      </c>
    </row>
    <row r="17" ht="15.75" customHeight="1">
      <c r="A17" s="13">
        <v>45574.0</v>
      </c>
      <c r="B17" s="3" t="s">
        <v>14</v>
      </c>
      <c r="C17" s="2" t="str">
        <f t="shared" si="2"/>
        <v>Bogotá</v>
      </c>
      <c r="D17" s="19" t="s">
        <v>2343</v>
      </c>
      <c r="E17" s="19" t="s">
        <v>2353</v>
      </c>
      <c r="F17" s="19" t="s">
        <v>2346</v>
      </c>
      <c r="G17" s="20">
        <v>120.46</v>
      </c>
      <c r="H17" s="5">
        <v>1.0</v>
      </c>
      <c r="I17" s="20">
        <v>120.46</v>
      </c>
      <c r="J17" s="2" t="s">
        <v>71</v>
      </c>
      <c r="K17" s="2" t="s">
        <v>72</v>
      </c>
      <c r="L17" s="2" t="s">
        <v>73</v>
      </c>
    </row>
    <row r="18" ht="15.75" customHeight="1">
      <c r="A18" s="13">
        <v>45574.0</v>
      </c>
      <c r="B18" s="3" t="s">
        <v>74</v>
      </c>
      <c r="C18" s="2" t="str">
        <f t="shared" si="2"/>
        <v>Cali</v>
      </c>
      <c r="D18" s="19" t="s">
        <v>2340</v>
      </c>
      <c r="E18" s="19" t="s">
        <v>2355</v>
      </c>
      <c r="F18" s="19" t="s">
        <v>2345</v>
      </c>
      <c r="G18" s="20">
        <v>525.13</v>
      </c>
      <c r="H18" s="5">
        <v>2.0</v>
      </c>
      <c r="I18" s="20">
        <v>1050.26</v>
      </c>
      <c r="J18" s="2" t="s">
        <v>76</v>
      </c>
      <c r="K18" s="2" t="s">
        <v>77</v>
      </c>
      <c r="L18" s="2" t="s">
        <v>78</v>
      </c>
    </row>
    <row r="19" ht="15.75" customHeight="1">
      <c r="A19" s="13">
        <v>45575.0</v>
      </c>
      <c r="B19" s="3" t="s">
        <v>14</v>
      </c>
      <c r="C19" s="2" t="str">
        <f t="shared" si="2"/>
        <v>Bogotá</v>
      </c>
      <c r="D19" s="19" t="s">
        <v>2351</v>
      </c>
      <c r="E19" s="19" t="s">
        <v>2352</v>
      </c>
      <c r="F19" s="19" t="s">
        <v>2346</v>
      </c>
      <c r="G19" s="20">
        <v>278.37</v>
      </c>
      <c r="H19" s="5">
        <v>3.0</v>
      </c>
      <c r="I19" s="20">
        <v>835.11</v>
      </c>
      <c r="J19" s="3" t="s">
        <v>80</v>
      </c>
      <c r="K19" s="2" t="s">
        <v>81</v>
      </c>
      <c r="L19" s="2" t="s">
        <v>82</v>
      </c>
    </row>
    <row r="20" ht="15.75" customHeight="1">
      <c r="A20" s="13">
        <v>45575.0</v>
      </c>
      <c r="B20" s="2" t="s">
        <v>34</v>
      </c>
      <c r="C20" s="2" t="str">
        <f t="shared" si="2"/>
        <v>Medellín</v>
      </c>
      <c r="D20" s="19" t="s">
        <v>2347</v>
      </c>
      <c r="E20" s="19" t="s">
        <v>2356</v>
      </c>
      <c r="F20" s="19" t="s">
        <v>2345</v>
      </c>
      <c r="G20" s="20">
        <v>157.57</v>
      </c>
      <c r="H20" s="5">
        <v>2.0</v>
      </c>
      <c r="I20" s="20">
        <v>315.14</v>
      </c>
      <c r="J20" s="2" t="s">
        <v>84</v>
      </c>
      <c r="K20" s="2" t="s">
        <v>85</v>
      </c>
      <c r="L20" s="2" t="s">
        <v>86</v>
      </c>
    </row>
    <row r="21" ht="15.75" customHeight="1">
      <c r="A21" s="18">
        <v>45575.0</v>
      </c>
      <c r="B21" s="3" t="s">
        <v>87</v>
      </c>
      <c r="C21" s="2" t="str">
        <f t="shared" si="2"/>
        <v>Tulum</v>
      </c>
      <c r="D21" s="19" t="s">
        <v>2351</v>
      </c>
      <c r="E21" s="19" t="s">
        <v>2357</v>
      </c>
      <c r="F21" s="19" t="s">
        <v>2345</v>
      </c>
      <c r="G21" s="20">
        <v>981.62</v>
      </c>
      <c r="H21" s="5">
        <v>5.0</v>
      </c>
      <c r="I21" s="20">
        <v>4908.1</v>
      </c>
      <c r="J21" s="2" t="s">
        <v>89</v>
      </c>
      <c r="K21" s="2" t="s">
        <v>90</v>
      </c>
      <c r="L21" s="2" t="s">
        <v>91</v>
      </c>
    </row>
    <row r="22" ht="15.75" customHeight="1">
      <c r="A22" s="13">
        <v>45575.0</v>
      </c>
      <c r="B22" s="3" t="s">
        <v>29</v>
      </c>
      <c r="C22" s="2" t="str">
        <f t="shared" si="2"/>
        <v>Ciudad De Mexico</v>
      </c>
      <c r="D22" s="19" t="s">
        <v>2340</v>
      </c>
      <c r="E22" s="19" t="s">
        <v>2355</v>
      </c>
      <c r="F22" s="19" t="s">
        <v>2342</v>
      </c>
      <c r="G22" s="20">
        <v>646.22</v>
      </c>
      <c r="H22" s="5">
        <v>2.0</v>
      </c>
      <c r="I22" s="20">
        <v>1292.44</v>
      </c>
      <c r="J22" s="2" t="s">
        <v>93</v>
      </c>
      <c r="K22" s="2" t="s">
        <v>94</v>
      </c>
      <c r="L22" s="2" t="s">
        <v>95</v>
      </c>
    </row>
    <row r="23" ht="15.75" customHeight="1">
      <c r="A23" s="13">
        <v>45575.0</v>
      </c>
      <c r="B23" s="2" t="s">
        <v>57</v>
      </c>
      <c r="C23" s="2" t="str">
        <f t="shared" si="2"/>
        <v>Guadalajara</v>
      </c>
      <c r="D23" s="19" t="s">
        <v>2340</v>
      </c>
      <c r="E23" s="19" t="s">
        <v>2349</v>
      </c>
      <c r="F23" s="19" t="s">
        <v>2350</v>
      </c>
      <c r="G23" s="20">
        <v>1848.98</v>
      </c>
      <c r="H23" s="5">
        <v>3.0</v>
      </c>
      <c r="I23" s="20">
        <v>5546.94</v>
      </c>
      <c r="J23" s="2" t="s">
        <v>96</v>
      </c>
      <c r="K23" s="2" t="s">
        <v>97</v>
      </c>
      <c r="L23" s="2" t="s">
        <v>98</v>
      </c>
    </row>
    <row r="24" ht="15.75" customHeight="1">
      <c r="A24" s="13">
        <v>45575.0</v>
      </c>
      <c r="B24" s="3" t="s">
        <v>74</v>
      </c>
      <c r="C24" s="2" t="str">
        <f t="shared" si="2"/>
        <v>Cali</v>
      </c>
      <c r="D24" s="19" t="s">
        <v>2347</v>
      </c>
      <c r="E24" s="19" t="s">
        <v>2348</v>
      </c>
      <c r="F24" s="19" t="s">
        <v>2345</v>
      </c>
      <c r="G24" s="20">
        <v>1420.28</v>
      </c>
      <c r="H24" s="5">
        <v>4.0</v>
      </c>
      <c r="I24" s="20">
        <v>5681.12</v>
      </c>
      <c r="J24" s="2" t="s">
        <v>99</v>
      </c>
      <c r="K24" s="2" t="s">
        <v>100</v>
      </c>
      <c r="L24" s="2" t="s">
        <v>101</v>
      </c>
    </row>
    <row r="25" ht="15.75" customHeight="1">
      <c r="A25" s="13">
        <v>45576.0</v>
      </c>
      <c r="B25" s="2" t="s">
        <v>34</v>
      </c>
      <c r="C25" s="2" t="str">
        <f t="shared" si="2"/>
        <v>Medellín</v>
      </c>
      <c r="D25" s="19" t="s">
        <v>2343</v>
      </c>
      <c r="E25" s="19" t="s">
        <v>2353</v>
      </c>
      <c r="F25" s="19" t="s">
        <v>2346</v>
      </c>
      <c r="G25" s="20">
        <v>2208.12</v>
      </c>
      <c r="H25" s="5">
        <v>2.0</v>
      </c>
      <c r="I25" s="20">
        <v>4416.24</v>
      </c>
      <c r="J25" s="2" t="s">
        <v>102</v>
      </c>
      <c r="K25" s="2" t="s">
        <v>103</v>
      </c>
      <c r="L25" s="2" t="s">
        <v>104</v>
      </c>
    </row>
    <row r="26" ht="15.75" customHeight="1">
      <c r="A26" s="13">
        <v>45576.0</v>
      </c>
      <c r="B26" s="2" t="s">
        <v>34</v>
      </c>
      <c r="C26" s="2" t="str">
        <f t="shared" si="2"/>
        <v>Medellín</v>
      </c>
      <c r="D26" s="19" t="s">
        <v>2340</v>
      </c>
      <c r="E26" s="19" t="s">
        <v>2341</v>
      </c>
      <c r="F26" s="19" t="s">
        <v>2346</v>
      </c>
      <c r="G26" s="20">
        <v>591.94</v>
      </c>
      <c r="H26" s="5">
        <v>2.0</v>
      </c>
      <c r="I26" s="20">
        <v>1183.88</v>
      </c>
      <c r="J26" s="2" t="s">
        <v>105</v>
      </c>
      <c r="K26" s="2" t="s">
        <v>106</v>
      </c>
      <c r="L26" s="2" t="s">
        <v>107</v>
      </c>
    </row>
    <row r="27" ht="15.75" customHeight="1">
      <c r="A27" s="13">
        <v>45576.0</v>
      </c>
      <c r="B27" s="3" t="s">
        <v>9</v>
      </c>
      <c r="C27" s="2" t="str">
        <f t="shared" si="2"/>
        <v>Monterrey</v>
      </c>
      <c r="D27" s="19" t="s">
        <v>2343</v>
      </c>
      <c r="E27" s="19" t="s">
        <v>2353</v>
      </c>
      <c r="F27" s="19" t="s">
        <v>2350</v>
      </c>
      <c r="G27" s="20">
        <v>1429.89</v>
      </c>
      <c r="H27" s="5">
        <v>4.0</v>
      </c>
      <c r="I27" s="20">
        <v>5719.56</v>
      </c>
      <c r="J27" s="2" t="s">
        <v>108</v>
      </c>
      <c r="K27" s="2" t="s">
        <v>109</v>
      </c>
      <c r="L27" s="2" t="s">
        <v>110</v>
      </c>
    </row>
    <row r="28" ht="15.75" customHeight="1">
      <c r="A28" s="13">
        <v>45576.0</v>
      </c>
      <c r="B28" s="2" t="s">
        <v>34</v>
      </c>
      <c r="C28" s="2" t="str">
        <f t="shared" si="2"/>
        <v>Medellín</v>
      </c>
      <c r="D28" s="19" t="s">
        <v>2343</v>
      </c>
      <c r="E28" s="19" t="s">
        <v>2344</v>
      </c>
      <c r="F28" s="19" t="s">
        <v>2342</v>
      </c>
      <c r="G28" s="20">
        <v>2085.29</v>
      </c>
      <c r="H28" s="5">
        <v>1.0</v>
      </c>
      <c r="I28" s="20">
        <v>2085.29</v>
      </c>
      <c r="J28" s="2" t="s">
        <v>111</v>
      </c>
      <c r="K28" s="2" t="s">
        <v>112</v>
      </c>
      <c r="L28" s="7" t="s">
        <v>113</v>
      </c>
    </row>
    <row r="29" ht="15.75" customHeight="1">
      <c r="A29" s="13">
        <v>45576.0</v>
      </c>
      <c r="B29" s="2" t="s">
        <v>114</v>
      </c>
      <c r="C29" s="2" t="str">
        <f t="shared" si="2"/>
        <v>Guadalajara</v>
      </c>
      <c r="D29" s="19" t="s">
        <v>2347</v>
      </c>
      <c r="E29" s="19" t="s">
        <v>2358</v>
      </c>
      <c r="F29" s="19" t="s">
        <v>2346</v>
      </c>
      <c r="G29" s="20">
        <v>724.28</v>
      </c>
      <c r="H29" s="5">
        <v>3.0</v>
      </c>
      <c r="I29" s="20">
        <v>2172.84</v>
      </c>
      <c r="J29" s="2" t="s">
        <v>116</v>
      </c>
      <c r="K29" s="2" t="s">
        <v>117</v>
      </c>
      <c r="L29" s="2" t="s">
        <v>118</v>
      </c>
    </row>
    <row r="30" ht="15.75" customHeight="1">
      <c r="A30" s="13">
        <v>45576.0</v>
      </c>
      <c r="B30" s="3" t="s">
        <v>74</v>
      </c>
      <c r="C30" s="2" t="str">
        <f t="shared" si="2"/>
        <v>Cali</v>
      </c>
      <c r="D30" s="19" t="s">
        <v>2347</v>
      </c>
      <c r="E30" s="19" t="s">
        <v>2348</v>
      </c>
      <c r="F30" s="19" t="s">
        <v>2342</v>
      </c>
      <c r="G30" s="20">
        <v>1859.58</v>
      </c>
      <c r="H30" s="5">
        <v>3.0</v>
      </c>
      <c r="I30" s="20">
        <v>5578.74</v>
      </c>
      <c r="J30" s="2" t="s">
        <v>120</v>
      </c>
      <c r="K30" s="2" t="s">
        <v>121</v>
      </c>
      <c r="L30" s="2" t="s">
        <v>122</v>
      </c>
    </row>
    <row r="31" ht="15.75" customHeight="1">
      <c r="A31" s="13">
        <v>45576.0</v>
      </c>
      <c r="B31" s="2" t="s">
        <v>34</v>
      </c>
      <c r="C31" s="2" t="str">
        <f t="shared" si="2"/>
        <v>Medellín</v>
      </c>
      <c r="D31" s="14" t="s">
        <v>2347</v>
      </c>
      <c r="E31" s="19" t="s">
        <v>2356</v>
      </c>
      <c r="F31" s="19" t="s">
        <v>2342</v>
      </c>
      <c r="G31" s="20">
        <v>218.17</v>
      </c>
      <c r="H31" s="5">
        <v>4.0</v>
      </c>
      <c r="I31" s="20">
        <v>872.68</v>
      </c>
      <c r="J31" s="2" t="s">
        <v>124</v>
      </c>
      <c r="K31" s="2" t="s">
        <v>125</v>
      </c>
      <c r="L31" s="2" t="s">
        <v>126</v>
      </c>
    </row>
    <row r="32" ht="15.75" customHeight="1">
      <c r="A32" s="13">
        <v>45576.0</v>
      </c>
      <c r="B32" s="3" t="s">
        <v>29</v>
      </c>
      <c r="C32" s="2" t="str">
        <f t="shared" si="2"/>
        <v>Ciudad De Mexico</v>
      </c>
      <c r="D32" s="19" t="s">
        <v>2340</v>
      </c>
      <c r="E32" s="19" t="s">
        <v>2349</v>
      </c>
      <c r="F32" s="19" t="s">
        <v>2350</v>
      </c>
      <c r="G32" s="20">
        <v>1375.85</v>
      </c>
      <c r="H32" s="5">
        <v>1.0</v>
      </c>
      <c r="I32" s="20">
        <v>1375.85</v>
      </c>
      <c r="J32" s="2" t="s">
        <v>127</v>
      </c>
      <c r="K32" s="2" t="s">
        <v>128</v>
      </c>
      <c r="L32" s="2" t="s">
        <v>129</v>
      </c>
    </row>
    <row r="33" ht="15.75" customHeight="1">
      <c r="A33" s="13">
        <v>45576.0</v>
      </c>
      <c r="B33" s="2" t="s">
        <v>57</v>
      </c>
      <c r="C33" s="2" t="str">
        <f t="shared" si="2"/>
        <v>Guadalajara</v>
      </c>
      <c r="D33" s="19" t="s">
        <v>2340</v>
      </c>
      <c r="E33" s="19" t="s">
        <v>2349</v>
      </c>
      <c r="F33" s="19" t="s">
        <v>2342</v>
      </c>
      <c r="G33" s="20">
        <v>421.59</v>
      </c>
      <c r="H33" s="5">
        <v>2.0</v>
      </c>
      <c r="I33" s="20">
        <v>843.18</v>
      </c>
      <c r="J33" s="2" t="s">
        <v>131</v>
      </c>
      <c r="K33" s="2" t="s">
        <v>132</v>
      </c>
      <c r="L33" s="2" t="s">
        <v>133</v>
      </c>
    </row>
    <row r="34" ht="15.75" customHeight="1">
      <c r="A34" s="13">
        <v>45576.0</v>
      </c>
      <c r="B34" s="3" t="s">
        <v>9</v>
      </c>
      <c r="C34" s="2" t="str">
        <f t="shared" si="2"/>
        <v>Monterrey</v>
      </c>
      <c r="D34" s="19" t="s">
        <v>2340</v>
      </c>
      <c r="E34" s="19" t="s">
        <v>2355</v>
      </c>
      <c r="F34" s="19" t="s">
        <v>2345</v>
      </c>
      <c r="G34" s="20">
        <v>2288.18</v>
      </c>
      <c r="H34" s="5">
        <v>1.0</v>
      </c>
      <c r="I34" s="20">
        <v>2288.18</v>
      </c>
      <c r="J34" s="2" t="s">
        <v>134</v>
      </c>
      <c r="K34" s="2" t="s">
        <v>135</v>
      </c>
      <c r="L34" s="2" t="s">
        <v>136</v>
      </c>
    </row>
    <row r="35" ht="15.75" customHeight="1">
      <c r="A35" s="13">
        <v>45576.0</v>
      </c>
      <c r="B35" s="3" t="s">
        <v>9</v>
      </c>
      <c r="C35" s="2" t="str">
        <f t="shared" si="2"/>
        <v>Monterrey</v>
      </c>
      <c r="D35" s="19" t="s">
        <v>2343</v>
      </c>
      <c r="E35" s="19" t="s">
        <v>2344</v>
      </c>
      <c r="F35" s="19" t="s">
        <v>2346</v>
      </c>
      <c r="G35" s="20">
        <v>1699.32</v>
      </c>
      <c r="H35" s="5">
        <v>4.0</v>
      </c>
      <c r="I35" s="20">
        <v>6797.28</v>
      </c>
      <c r="J35" s="2" t="s">
        <v>138</v>
      </c>
      <c r="K35" s="2" t="s">
        <v>139</v>
      </c>
      <c r="L35" s="2" t="s">
        <v>140</v>
      </c>
    </row>
    <row r="36" ht="15.75" customHeight="1">
      <c r="A36" s="13">
        <v>45576.0</v>
      </c>
      <c r="B36" s="3" t="s">
        <v>74</v>
      </c>
      <c r="C36" s="2" t="str">
        <f t="shared" si="2"/>
        <v>Cali</v>
      </c>
      <c r="D36" s="19" t="s">
        <v>2340</v>
      </c>
      <c r="E36" s="19" t="s">
        <v>2355</v>
      </c>
      <c r="F36" s="19" t="s">
        <v>2345</v>
      </c>
      <c r="G36" s="20">
        <v>1578.34</v>
      </c>
      <c r="H36" s="5">
        <v>3.0</v>
      </c>
      <c r="I36" s="20">
        <v>4735.02</v>
      </c>
      <c r="J36" s="2" t="s">
        <v>141</v>
      </c>
      <c r="K36" s="2" t="s">
        <v>142</v>
      </c>
      <c r="L36" s="2" t="s">
        <v>143</v>
      </c>
    </row>
    <row r="37" ht="15.75" customHeight="1">
      <c r="A37" s="13">
        <v>45577.0</v>
      </c>
      <c r="B37" s="3" t="s">
        <v>14</v>
      </c>
      <c r="C37" s="2" t="str">
        <f t="shared" si="2"/>
        <v>Bogotá</v>
      </c>
      <c r="D37" s="19" t="s">
        <v>2347</v>
      </c>
      <c r="E37" s="19" t="s">
        <v>2348</v>
      </c>
      <c r="F37" s="19" t="s">
        <v>2346</v>
      </c>
      <c r="G37" s="20">
        <v>1445.1</v>
      </c>
      <c r="H37" s="5">
        <v>4.0</v>
      </c>
      <c r="I37" s="20">
        <v>5780.4</v>
      </c>
      <c r="J37" s="2" t="s">
        <v>145</v>
      </c>
      <c r="K37" s="2" t="s">
        <v>146</v>
      </c>
      <c r="L37" s="2" t="s">
        <v>147</v>
      </c>
    </row>
    <row r="38" ht="15.75" customHeight="1">
      <c r="A38" s="13">
        <v>45577.0</v>
      </c>
      <c r="B38" s="2" t="s">
        <v>57</v>
      </c>
      <c r="C38" s="2" t="str">
        <f t="shared" si="2"/>
        <v>Guadalajara</v>
      </c>
      <c r="D38" s="19" t="s">
        <v>2343</v>
      </c>
      <c r="E38" s="19" t="s">
        <v>2353</v>
      </c>
      <c r="F38" s="19" t="s">
        <v>2350</v>
      </c>
      <c r="G38" s="20">
        <v>1065.52</v>
      </c>
      <c r="H38" s="5">
        <v>2.0</v>
      </c>
      <c r="I38" s="20">
        <v>2131.04</v>
      </c>
      <c r="J38" s="2" t="s">
        <v>148</v>
      </c>
      <c r="K38" s="2" t="s">
        <v>149</v>
      </c>
      <c r="L38" s="2" t="s">
        <v>150</v>
      </c>
    </row>
    <row r="39" ht="15.75" customHeight="1">
      <c r="A39" s="13">
        <v>45577.0</v>
      </c>
      <c r="B39" s="3" t="s">
        <v>29</v>
      </c>
      <c r="C39" s="2" t="str">
        <f t="shared" si="2"/>
        <v>Ciudad De Mexico</v>
      </c>
      <c r="D39" s="19" t="s">
        <v>2351</v>
      </c>
      <c r="E39" s="19" t="s">
        <v>2357</v>
      </c>
      <c r="F39" s="19" t="s">
        <v>2342</v>
      </c>
      <c r="G39" s="20">
        <v>2095.66</v>
      </c>
      <c r="H39" s="5">
        <v>5.0</v>
      </c>
      <c r="I39" s="20">
        <v>10478.3</v>
      </c>
      <c r="J39" s="2" t="s">
        <v>152</v>
      </c>
      <c r="K39" s="2" t="s">
        <v>153</v>
      </c>
      <c r="L39" s="2" t="s">
        <v>154</v>
      </c>
    </row>
    <row r="40" ht="15.75" customHeight="1">
      <c r="A40" s="13">
        <v>45577.0</v>
      </c>
      <c r="B40" s="2" t="s">
        <v>57</v>
      </c>
      <c r="C40" s="2" t="str">
        <f t="shared" si="2"/>
        <v>Guadalajara</v>
      </c>
      <c r="D40" s="19" t="s">
        <v>2340</v>
      </c>
      <c r="E40" s="19" t="s">
        <v>2341</v>
      </c>
      <c r="F40" s="19" t="s">
        <v>2346</v>
      </c>
      <c r="G40" s="20">
        <v>2215.63</v>
      </c>
      <c r="H40" s="5">
        <v>3.0</v>
      </c>
      <c r="I40" s="20">
        <v>6646.89</v>
      </c>
      <c r="J40" s="2" t="s">
        <v>155</v>
      </c>
      <c r="K40" s="2" t="s">
        <v>156</v>
      </c>
      <c r="L40" s="2" t="s">
        <v>157</v>
      </c>
    </row>
    <row r="41" ht="15.75" customHeight="1">
      <c r="A41" s="13">
        <v>45577.0</v>
      </c>
      <c r="B41" s="3" t="s">
        <v>14</v>
      </c>
      <c r="C41" s="2" t="str">
        <f t="shared" si="2"/>
        <v>Bogotá</v>
      </c>
      <c r="D41" s="19" t="s">
        <v>2340</v>
      </c>
      <c r="E41" s="19" t="s">
        <v>2341</v>
      </c>
      <c r="F41" s="19" t="s">
        <v>2350</v>
      </c>
      <c r="G41" s="20">
        <v>2395.85</v>
      </c>
      <c r="H41" s="5">
        <v>4.0</v>
      </c>
      <c r="I41" s="20">
        <v>9583.4</v>
      </c>
      <c r="J41" s="2" t="s">
        <v>158</v>
      </c>
      <c r="K41" s="2" t="s">
        <v>159</v>
      </c>
      <c r="L41" s="2" t="s">
        <v>160</v>
      </c>
    </row>
    <row r="42" ht="15.75" customHeight="1">
      <c r="A42" s="13">
        <v>45577.0</v>
      </c>
      <c r="B42" s="2" t="s">
        <v>57</v>
      </c>
      <c r="C42" s="2" t="str">
        <f t="shared" si="2"/>
        <v>Guadalajara</v>
      </c>
      <c r="D42" s="19" t="s">
        <v>2351</v>
      </c>
      <c r="E42" s="19" t="s">
        <v>2352</v>
      </c>
      <c r="F42" s="19" t="s">
        <v>2345</v>
      </c>
      <c r="G42" s="20">
        <v>883.61</v>
      </c>
      <c r="H42" s="5">
        <v>2.0</v>
      </c>
      <c r="I42" s="20">
        <v>1767.22</v>
      </c>
      <c r="J42" s="3" t="s">
        <v>162</v>
      </c>
      <c r="K42" s="2" t="s">
        <v>163</v>
      </c>
      <c r="L42" s="2" t="s">
        <v>164</v>
      </c>
    </row>
    <row r="43" ht="15.75" customHeight="1">
      <c r="A43" s="13">
        <v>45577.0</v>
      </c>
      <c r="B43" s="3" t="s">
        <v>74</v>
      </c>
      <c r="C43" s="2" t="str">
        <f t="shared" si="2"/>
        <v>Cali</v>
      </c>
      <c r="D43" s="19" t="s">
        <v>2343</v>
      </c>
      <c r="E43" s="19" t="s">
        <v>2353</v>
      </c>
      <c r="F43" s="19" t="s">
        <v>2345</v>
      </c>
      <c r="G43" s="20">
        <v>1277.75</v>
      </c>
      <c r="H43" s="5">
        <v>1.0</v>
      </c>
      <c r="I43" s="20">
        <v>1277.75</v>
      </c>
      <c r="J43" s="2" t="s">
        <v>166</v>
      </c>
      <c r="K43" s="2" t="s">
        <v>167</v>
      </c>
      <c r="L43" s="2" t="s">
        <v>168</v>
      </c>
    </row>
    <row r="44" ht="15.75" customHeight="1">
      <c r="A44" s="13">
        <v>45577.0</v>
      </c>
      <c r="B44" s="2" t="s">
        <v>57</v>
      </c>
      <c r="C44" s="2" t="str">
        <f t="shared" si="2"/>
        <v>Guadalajara</v>
      </c>
      <c r="D44" s="19" t="s">
        <v>2347</v>
      </c>
      <c r="E44" s="19" t="s">
        <v>2358</v>
      </c>
      <c r="F44" s="19" t="s">
        <v>2350</v>
      </c>
      <c r="G44" s="20">
        <v>2182.77</v>
      </c>
      <c r="H44" s="5">
        <v>3.0</v>
      </c>
      <c r="I44" s="20">
        <v>6548.31</v>
      </c>
      <c r="J44" s="2" t="s">
        <v>170</v>
      </c>
      <c r="K44" s="2" t="s">
        <v>171</v>
      </c>
      <c r="L44" s="2" t="s">
        <v>172</v>
      </c>
    </row>
    <row r="45" ht="15.75" customHeight="1">
      <c r="A45" s="13">
        <v>45577.0</v>
      </c>
      <c r="B45" s="3" t="s">
        <v>14</v>
      </c>
      <c r="C45" s="2" t="str">
        <f t="shared" si="2"/>
        <v>Bogotá</v>
      </c>
      <c r="D45" s="19" t="s">
        <v>2343</v>
      </c>
      <c r="E45" s="19" t="s">
        <v>2353</v>
      </c>
      <c r="F45" s="19" t="s">
        <v>2350</v>
      </c>
      <c r="G45" s="20">
        <v>1163.04</v>
      </c>
      <c r="H45" s="5">
        <v>1.0</v>
      </c>
      <c r="I45" s="20">
        <v>1163.04</v>
      </c>
      <c r="J45" s="2" t="s">
        <v>173</v>
      </c>
      <c r="K45" s="2" t="s">
        <v>174</v>
      </c>
      <c r="L45" s="2" t="s">
        <v>175</v>
      </c>
    </row>
    <row r="46" ht="15.75" customHeight="1">
      <c r="A46" s="13">
        <v>45578.0</v>
      </c>
      <c r="B46" s="3" t="s">
        <v>9</v>
      </c>
      <c r="C46" s="2" t="str">
        <f t="shared" si="2"/>
        <v>Monterrey</v>
      </c>
      <c r="D46" s="19" t="s">
        <v>2340</v>
      </c>
      <c r="E46" s="19" t="s">
        <v>2355</v>
      </c>
      <c r="F46" s="19" t="s">
        <v>2342</v>
      </c>
      <c r="G46" s="20">
        <v>1664.18</v>
      </c>
      <c r="H46" s="5">
        <v>3.0</v>
      </c>
      <c r="I46" s="20">
        <v>4992.54</v>
      </c>
      <c r="J46" s="2" t="s">
        <v>176</v>
      </c>
      <c r="K46" s="2" t="s">
        <v>177</v>
      </c>
      <c r="L46" s="2" t="s">
        <v>178</v>
      </c>
    </row>
    <row r="47" ht="15.75" customHeight="1">
      <c r="A47" s="13">
        <v>45578.0</v>
      </c>
      <c r="B47" s="3" t="s">
        <v>74</v>
      </c>
      <c r="C47" s="2" t="str">
        <f t="shared" si="2"/>
        <v>Cali</v>
      </c>
      <c r="D47" s="19" t="s">
        <v>2340</v>
      </c>
      <c r="E47" s="19" t="s">
        <v>2355</v>
      </c>
      <c r="F47" s="19" t="s">
        <v>2350</v>
      </c>
      <c r="G47" s="20">
        <v>992.68</v>
      </c>
      <c r="H47" s="5">
        <v>5.0</v>
      </c>
      <c r="I47" s="20">
        <v>4963.4</v>
      </c>
      <c r="J47" s="2" t="s">
        <v>180</v>
      </c>
      <c r="K47" s="2" t="s">
        <v>181</v>
      </c>
      <c r="L47" s="2" t="s">
        <v>182</v>
      </c>
    </row>
    <row r="48" ht="15.75" customHeight="1">
      <c r="A48" s="13">
        <v>45578.0</v>
      </c>
      <c r="B48" s="2" t="s">
        <v>57</v>
      </c>
      <c r="C48" s="2" t="str">
        <f t="shared" si="2"/>
        <v>Guadalajara</v>
      </c>
      <c r="D48" s="19" t="s">
        <v>2343</v>
      </c>
      <c r="E48" s="19" t="s">
        <v>2359</v>
      </c>
      <c r="F48" s="19" t="s">
        <v>2346</v>
      </c>
      <c r="G48" s="20">
        <v>284.79</v>
      </c>
      <c r="H48" s="5">
        <v>5.0</v>
      </c>
      <c r="I48" s="20">
        <v>1423.95</v>
      </c>
      <c r="J48" s="2" t="s">
        <v>184</v>
      </c>
      <c r="K48" s="2" t="s">
        <v>185</v>
      </c>
      <c r="L48" s="2" t="s">
        <v>186</v>
      </c>
    </row>
    <row r="49" ht="15.75" customHeight="1">
      <c r="A49" s="13">
        <v>45578.0</v>
      </c>
      <c r="B49" s="3" t="s">
        <v>9</v>
      </c>
      <c r="C49" s="2" t="str">
        <f t="shared" si="2"/>
        <v>Monterrey</v>
      </c>
      <c r="D49" s="19" t="s">
        <v>2351</v>
      </c>
      <c r="E49" s="19" t="s">
        <v>2354</v>
      </c>
      <c r="F49" s="19" t="s">
        <v>2346</v>
      </c>
      <c r="G49" s="16">
        <f>I49/H49</f>
        <v>362.17</v>
      </c>
      <c r="H49" s="5">
        <v>3.0</v>
      </c>
      <c r="I49" s="20">
        <v>1086.51</v>
      </c>
      <c r="J49" s="2" t="s">
        <v>188</v>
      </c>
      <c r="K49" s="2" t="s">
        <v>189</v>
      </c>
      <c r="L49" s="2" t="s">
        <v>190</v>
      </c>
    </row>
    <row r="50" ht="15.75" customHeight="1">
      <c r="A50" s="13">
        <v>45578.0</v>
      </c>
      <c r="B50" s="2" t="s">
        <v>57</v>
      </c>
      <c r="C50" s="2" t="str">
        <f t="shared" si="2"/>
        <v>Guadalajara</v>
      </c>
      <c r="D50" s="19" t="s">
        <v>2351</v>
      </c>
      <c r="E50" s="19" t="s">
        <v>2352</v>
      </c>
      <c r="F50" s="19" t="s">
        <v>2342</v>
      </c>
      <c r="G50" s="20">
        <v>1274.8</v>
      </c>
      <c r="H50" s="5">
        <v>5.0</v>
      </c>
      <c r="I50" s="20">
        <v>6374.0</v>
      </c>
      <c r="J50" s="2" t="s">
        <v>191</v>
      </c>
      <c r="K50" s="2" t="s">
        <v>192</v>
      </c>
      <c r="L50" s="2" t="s">
        <v>193</v>
      </c>
    </row>
    <row r="51" ht="15.75" customHeight="1">
      <c r="A51" s="13">
        <v>45578.0</v>
      </c>
      <c r="B51" s="2" t="s">
        <v>57</v>
      </c>
      <c r="C51" s="2" t="str">
        <f t="shared" si="2"/>
        <v>Guadalajara</v>
      </c>
      <c r="D51" s="19" t="s">
        <v>2340</v>
      </c>
      <c r="E51" s="19" t="s">
        <v>2349</v>
      </c>
      <c r="F51" s="19" t="s">
        <v>2350</v>
      </c>
      <c r="G51" s="20">
        <v>233.85</v>
      </c>
      <c r="H51" s="5">
        <v>4.0</v>
      </c>
      <c r="I51" s="20">
        <v>935.4</v>
      </c>
      <c r="J51" s="2" t="s">
        <v>194</v>
      </c>
      <c r="K51" s="2" t="s">
        <v>195</v>
      </c>
      <c r="L51" s="2" t="s">
        <v>196</v>
      </c>
    </row>
    <row r="52" ht="15.75" customHeight="1">
      <c r="A52" s="13">
        <v>45578.0</v>
      </c>
      <c r="B52" s="3" t="s">
        <v>29</v>
      </c>
      <c r="C52" s="2" t="str">
        <f t="shared" si="2"/>
        <v>Ciudad De Mexico</v>
      </c>
      <c r="D52" s="19" t="s">
        <v>2343</v>
      </c>
      <c r="E52" s="19" t="s">
        <v>2344</v>
      </c>
      <c r="F52" s="19" t="s">
        <v>2345</v>
      </c>
      <c r="G52" s="20">
        <v>142.14</v>
      </c>
      <c r="H52" s="5">
        <v>3.0</v>
      </c>
      <c r="I52" s="20">
        <v>426.42</v>
      </c>
      <c r="J52" s="2" t="s">
        <v>197</v>
      </c>
      <c r="K52" s="2" t="s">
        <v>198</v>
      </c>
      <c r="L52" s="2" t="s">
        <v>199</v>
      </c>
    </row>
    <row r="53" ht="15.75" customHeight="1">
      <c r="A53" s="13">
        <v>45578.0</v>
      </c>
      <c r="B53" s="2" t="s">
        <v>34</v>
      </c>
      <c r="C53" s="2" t="str">
        <f t="shared" si="2"/>
        <v>Medellín</v>
      </c>
      <c r="D53" s="19" t="s">
        <v>2347</v>
      </c>
      <c r="E53" s="19" t="s">
        <v>2348</v>
      </c>
      <c r="F53" s="19" t="s">
        <v>2342</v>
      </c>
      <c r="G53" s="20">
        <v>226.52</v>
      </c>
      <c r="H53" s="5">
        <v>2.0</v>
      </c>
      <c r="I53" s="20">
        <v>453.04</v>
      </c>
      <c r="J53" s="2" t="s">
        <v>200</v>
      </c>
      <c r="K53" s="2" t="s">
        <v>201</v>
      </c>
      <c r="L53" s="2" t="s">
        <v>202</v>
      </c>
    </row>
    <row r="54" ht="15.75" customHeight="1">
      <c r="A54" s="13">
        <v>45578.0</v>
      </c>
      <c r="B54" s="3" t="s">
        <v>29</v>
      </c>
      <c r="C54" s="2" t="str">
        <f t="shared" si="2"/>
        <v>Ciudad De Mexico</v>
      </c>
      <c r="D54" s="19" t="s">
        <v>2340</v>
      </c>
      <c r="E54" s="19" t="s">
        <v>2355</v>
      </c>
      <c r="F54" s="19" t="s">
        <v>2345</v>
      </c>
      <c r="G54" s="20">
        <v>1922.79</v>
      </c>
      <c r="H54" s="5">
        <v>3.0</v>
      </c>
      <c r="I54" s="20">
        <v>5768.37</v>
      </c>
      <c r="J54" s="2" t="s">
        <v>203</v>
      </c>
      <c r="K54" s="2" t="s">
        <v>204</v>
      </c>
      <c r="L54" s="2" t="s">
        <v>205</v>
      </c>
    </row>
    <row r="55" ht="15.75" customHeight="1">
      <c r="A55" s="13">
        <v>45578.0</v>
      </c>
      <c r="B55" s="3" t="s">
        <v>14</v>
      </c>
      <c r="C55" s="2" t="str">
        <f t="shared" si="2"/>
        <v>Bogotá</v>
      </c>
      <c r="D55" s="19" t="s">
        <v>2340</v>
      </c>
      <c r="E55" s="19" t="s">
        <v>2349</v>
      </c>
      <c r="F55" s="19" t="s">
        <v>2342</v>
      </c>
      <c r="G55" s="16">
        <f>I55/H55</f>
        <v>2214.98</v>
      </c>
      <c r="H55" s="5">
        <v>2.0</v>
      </c>
      <c r="I55" s="20">
        <v>4429.96</v>
      </c>
      <c r="J55" s="2" t="s">
        <v>206</v>
      </c>
      <c r="K55" s="2" t="s">
        <v>207</v>
      </c>
      <c r="L55" s="2" t="s">
        <v>208</v>
      </c>
    </row>
    <row r="56" ht="15.75" customHeight="1">
      <c r="A56" s="13">
        <v>45579.0</v>
      </c>
      <c r="B56" s="3" t="s">
        <v>14</v>
      </c>
      <c r="C56" s="2" t="str">
        <f t="shared" si="2"/>
        <v>Bogotá</v>
      </c>
      <c r="D56" s="19" t="s">
        <v>2351</v>
      </c>
      <c r="E56" s="19" t="s">
        <v>2354</v>
      </c>
      <c r="F56" s="19" t="s">
        <v>2346</v>
      </c>
      <c r="G56" s="20">
        <v>120.94</v>
      </c>
      <c r="H56" s="5">
        <v>3.0</v>
      </c>
      <c r="I56" s="16">
        <f>G56*H56</f>
        <v>362.82</v>
      </c>
      <c r="J56" s="2" t="s">
        <v>209</v>
      </c>
      <c r="K56" s="2" t="s">
        <v>210</v>
      </c>
      <c r="L56" s="2" t="s">
        <v>211</v>
      </c>
    </row>
    <row r="57" ht="15.75" customHeight="1">
      <c r="A57" s="13">
        <v>45579.0</v>
      </c>
      <c r="B57" s="2" t="s">
        <v>34</v>
      </c>
      <c r="C57" s="2" t="str">
        <f t="shared" si="2"/>
        <v>Medellín</v>
      </c>
      <c r="D57" s="19" t="s">
        <v>2340</v>
      </c>
      <c r="E57" s="19" t="s">
        <v>2355</v>
      </c>
      <c r="F57" s="19" t="s">
        <v>2342</v>
      </c>
      <c r="G57" s="20">
        <v>1950.45</v>
      </c>
      <c r="H57" s="5">
        <v>4.0</v>
      </c>
      <c r="I57" s="20">
        <v>7801.8</v>
      </c>
      <c r="J57" s="2" t="s">
        <v>212</v>
      </c>
      <c r="K57" s="2" t="s">
        <v>213</v>
      </c>
      <c r="L57" s="2" t="s">
        <v>214</v>
      </c>
    </row>
    <row r="58" ht="15.75" customHeight="1">
      <c r="A58" s="13">
        <v>45579.0</v>
      </c>
      <c r="B58" s="3" t="s">
        <v>14</v>
      </c>
      <c r="C58" s="2" t="str">
        <f t="shared" si="2"/>
        <v>Bogotá</v>
      </c>
      <c r="D58" s="19" t="s">
        <v>2347</v>
      </c>
      <c r="E58" s="19" t="s">
        <v>2356</v>
      </c>
      <c r="F58" s="19" t="s">
        <v>2350</v>
      </c>
      <c r="G58" s="20">
        <v>2092.55</v>
      </c>
      <c r="H58" s="5">
        <v>5.0</v>
      </c>
      <c r="I58" s="20">
        <v>10462.75</v>
      </c>
      <c r="J58" s="2" t="s">
        <v>216</v>
      </c>
      <c r="K58" s="2" t="s">
        <v>217</v>
      </c>
      <c r="L58" s="2" t="s">
        <v>218</v>
      </c>
    </row>
    <row r="59" ht="15.75" customHeight="1">
      <c r="A59" s="13">
        <v>45579.0</v>
      </c>
      <c r="B59" s="2" t="s">
        <v>34</v>
      </c>
      <c r="C59" s="2" t="str">
        <f t="shared" si="2"/>
        <v>Medellín</v>
      </c>
      <c r="D59" s="19" t="s">
        <v>2340</v>
      </c>
      <c r="E59" s="19" t="s">
        <v>2341</v>
      </c>
      <c r="F59" s="19" t="s">
        <v>2342</v>
      </c>
      <c r="G59" s="20">
        <v>214.72</v>
      </c>
      <c r="H59" s="5">
        <v>3.0</v>
      </c>
      <c r="I59" s="20">
        <v>644.16</v>
      </c>
      <c r="J59" s="2" t="s">
        <v>219</v>
      </c>
      <c r="K59" s="2" t="s">
        <v>220</v>
      </c>
      <c r="L59" s="2" t="s">
        <v>221</v>
      </c>
    </row>
    <row r="60" ht="15.75" customHeight="1">
      <c r="A60" s="13">
        <v>45579.0</v>
      </c>
      <c r="B60" s="2" t="s">
        <v>57</v>
      </c>
      <c r="C60" s="2" t="str">
        <f t="shared" si="2"/>
        <v>Guadalajara</v>
      </c>
      <c r="D60" s="19" t="s">
        <v>2351</v>
      </c>
      <c r="E60" s="19" t="s">
        <v>2357</v>
      </c>
      <c r="F60" s="19" t="s">
        <v>2346</v>
      </c>
      <c r="G60" s="20">
        <v>1291.39</v>
      </c>
      <c r="H60" s="5">
        <v>3.0</v>
      </c>
      <c r="I60" s="20">
        <v>3874.17</v>
      </c>
      <c r="J60" s="2" t="s">
        <v>223</v>
      </c>
      <c r="K60" s="2" t="s">
        <v>224</v>
      </c>
      <c r="L60" s="2" t="s">
        <v>225</v>
      </c>
    </row>
    <row r="61" ht="15.75" customHeight="1">
      <c r="A61" s="13">
        <v>45579.0</v>
      </c>
      <c r="B61" s="3" t="s">
        <v>29</v>
      </c>
      <c r="C61" s="2" t="str">
        <f t="shared" si="2"/>
        <v>Ciudad De Mexico</v>
      </c>
      <c r="D61" s="19" t="s">
        <v>2351</v>
      </c>
      <c r="E61" s="19" t="s">
        <v>2352</v>
      </c>
      <c r="F61" s="19" t="s">
        <v>2350</v>
      </c>
      <c r="G61" s="20">
        <v>970.38</v>
      </c>
      <c r="H61" s="5">
        <v>5.0</v>
      </c>
      <c r="I61" s="20">
        <v>4851.9</v>
      </c>
      <c r="J61" s="2" t="s">
        <v>227</v>
      </c>
      <c r="K61" s="2" t="s">
        <v>228</v>
      </c>
      <c r="L61" s="2" t="s">
        <v>229</v>
      </c>
    </row>
    <row r="62" ht="15.75" customHeight="1">
      <c r="A62" s="13">
        <v>45579.0</v>
      </c>
      <c r="B62" s="3" t="s">
        <v>74</v>
      </c>
      <c r="C62" s="2" t="str">
        <f t="shared" si="2"/>
        <v>Cali</v>
      </c>
      <c r="D62" s="19" t="s">
        <v>2340</v>
      </c>
      <c r="E62" s="19" t="s">
        <v>2355</v>
      </c>
      <c r="F62" s="19" t="s">
        <v>2346</v>
      </c>
      <c r="G62" s="20">
        <v>2101.48</v>
      </c>
      <c r="H62" s="5">
        <v>2.0</v>
      </c>
      <c r="I62" s="20">
        <v>4202.96</v>
      </c>
      <c r="J62" s="2" t="s">
        <v>231</v>
      </c>
      <c r="K62" s="2" t="s">
        <v>232</v>
      </c>
      <c r="L62" s="2" t="s">
        <v>233</v>
      </c>
    </row>
    <row r="63" ht="15.75" customHeight="1">
      <c r="A63" s="13">
        <v>45579.0</v>
      </c>
      <c r="B63" s="3" t="s">
        <v>14</v>
      </c>
      <c r="C63" s="2" t="str">
        <f t="shared" si="2"/>
        <v>Bogotá</v>
      </c>
      <c r="D63" s="19" t="s">
        <v>2351</v>
      </c>
      <c r="E63" s="19" t="s">
        <v>2354</v>
      </c>
      <c r="F63" s="19" t="s">
        <v>2350</v>
      </c>
      <c r="G63" s="20">
        <v>302.84</v>
      </c>
      <c r="H63" s="5">
        <v>3.0</v>
      </c>
      <c r="I63" s="20">
        <v>908.52</v>
      </c>
      <c r="J63" s="2" t="s">
        <v>234</v>
      </c>
      <c r="K63" s="2" t="s">
        <v>235</v>
      </c>
      <c r="L63" s="2" t="s">
        <v>236</v>
      </c>
    </row>
    <row r="64" ht="15.75" customHeight="1">
      <c r="A64" s="13">
        <v>45579.0</v>
      </c>
      <c r="B64" s="3" t="s">
        <v>9</v>
      </c>
      <c r="C64" s="2" t="str">
        <f t="shared" si="2"/>
        <v>Monterrey</v>
      </c>
      <c r="D64" s="19" t="s">
        <v>2343</v>
      </c>
      <c r="E64" s="19" t="s">
        <v>2344</v>
      </c>
      <c r="F64" s="19" t="s">
        <v>2345</v>
      </c>
      <c r="G64" s="20">
        <v>1421.57</v>
      </c>
      <c r="H64" s="5">
        <v>4.0</v>
      </c>
      <c r="I64" s="20">
        <v>5686.28</v>
      </c>
      <c r="J64" s="2" t="s">
        <v>237</v>
      </c>
      <c r="K64" s="2" t="s">
        <v>238</v>
      </c>
      <c r="L64" s="2" t="s">
        <v>239</v>
      </c>
    </row>
    <row r="65" ht="15.75" customHeight="1">
      <c r="A65" s="13">
        <v>45579.0</v>
      </c>
      <c r="B65" s="3" t="s">
        <v>9</v>
      </c>
      <c r="C65" s="2" t="str">
        <f t="shared" si="2"/>
        <v>Monterrey</v>
      </c>
      <c r="D65" s="19" t="s">
        <v>2340</v>
      </c>
      <c r="E65" s="19" t="s">
        <v>2355</v>
      </c>
      <c r="F65" s="19" t="s">
        <v>2342</v>
      </c>
      <c r="G65" s="20">
        <v>1037.64</v>
      </c>
      <c r="H65" s="5">
        <v>3.0</v>
      </c>
      <c r="I65" s="20">
        <v>3112.92</v>
      </c>
      <c r="J65" s="2" t="s">
        <v>240</v>
      </c>
      <c r="K65" s="2" t="s">
        <v>241</v>
      </c>
      <c r="L65" s="7" t="s">
        <v>242</v>
      </c>
    </row>
    <row r="66" ht="15.75" customHeight="1">
      <c r="A66" s="13">
        <v>45579.0</v>
      </c>
      <c r="B66" s="3" t="s">
        <v>9</v>
      </c>
      <c r="C66" s="2" t="str">
        <f t="shared" si="2"/>
        <v>Monterrey</v>
      </c>
      <c r="D66" s="19" t="s">
        <v>2343</v>
      </c>
      <c r="E66" s="19" t="s">
        <v>2344</v>
      </c>
      <c r="F66" s="19" t="s">
        <v>2346</v>
      </c>
      <c r="G66" s="20">
        <v>579.54</v>
      </c>
      <c r="H66" s="5">
        <v>3.0</v>
      </c>
      <c r="I66" s="20">
        <v>1738.62</v>
      </c>
      <c r="J66" s="2" t="s">
        <v>243</v>
      </c>
      <c r="K66" s="2" t="s">
        <v>244</v>
      </c>
      <c r="L66" s="2" t="s">
        <v>245</v>
      </c>
    </row>
    <row r="67" ht="15.75" customHeight="1">
      <c r="A67" s="13">
        <v>45579.0</v>
      </c>
      <c r="B67" s="2" t="s">
        <v>34</v>
      </c>
      <c r="C67" s="2" t="str">
        <f t="shared" si="2"/>
        <v>Medellín</v>
      </c>
      <c r="D67" s="19" t="s">
        <v>2340</v>
      </c>
      <c r="E67" s="19" t="s">
        <v>2355</v>
      </c>
      <c r="F67" s="19" t="s">
        <v>2350</v>
      </c>
      <c r="G67" s="20">
        <v>796.49</v>
      </c>
      <c r="H67" s="5">
        <v>3.0</v>
      </c>
      <c r="I67" s="20">
        <v>2389.47</v>
      </c>
      <c r="J67" s="2" t="s">
        <v>246</v>
      </c>
      <c r="K67" s="2" t="s">
        <v>247</v>
      </c>
      <c r="L67" s="2" t="s">
        <v>248</v>
      </c>
    </row>
    <row r="68" ht="15.75" customHeight="1">
      <c r="A68" s="13">
        <v>45579.0</v>
      </c>
      <c r="B68" s="3" t="s">
        <v>14</v>
      </c>
      <c r="C68" s="2" t="str">
        <f t="shared" si="2"/>
        <v>Bogotá</v>
      </c>
      <c r="D68" s="22" t="s">
        <v>2347</v>
      </c>
      <c r="E68" s="19" t="s">
        <v>2356</v>
      </c>
      <c r="F68" s="19" t="s">
        <v>2342</v>
      </c>
      <c r="G68" s="20">
        <v>1838.04</v>
      </c>
      <c r="H68" s="5">
        <v>4.0</v>
      </c>
      <c r="I68" s="20">
        <v>7352.16</v>
      </c>
      <c r="J68" s="2" t="s">
        <v>249</v>
      </c>
      <c r="K68" s="2" t="s">
        <v>250</v>
      </c>
      <c r="L68" s="2" t="s">
        <v>251</v>
      </c>
    </row>
    <row r="69" ht="15.75" customHeight="1">
      <c r="A69" s="13">
        <v>45580.0</v>
      </c>
      <c r="B69" s="3" t="s">
        <v>14</v>
      </c>
      <c r="C69" s="2" t="str">
        <f t="shared" si="2"/>
        <v>Bogotá</v>
      </c>
      <c r="D69" s="19" t="s">
        <v>2343</v>
      </c>
      <c r="E69" s="19" t="s">
        <v>2353</v>
      </c>
      <c r="F69" s="19" t="s">
        <v>2342</v>
      </c>
      <c r="G69" s="20">
        <v>1090.69</v>
      </c>
      <c r="H69" s="5">
        <v>1.0</v>
      </c>
      <c r="I69" s="20">
        <v>1090.69</v>
      </c>
      <c r="J69" s="2" t="s">
        <v>253</v>
      </c>
      <c r="K69" s="2" t="s">
        <v>254</v>
      </c>
      <c r="L69" s="2" t="s">
        <v>255</v>
      </c>
    </row>
    <row r="70" ht="15.75" customHeight="1">
      <c r="A70" s="13">
        <v>45580.0</v>
      </c>
      <c r="B70" s="3" t="s">
        <v>9</v>
      </c>
      <c r="C70" s="2" t="str">
        <f t="shared" si="2"/>
        <v>Monterrey</v>
      </c>
      <c r="D70" s="19" t="s">
        <v>2343</v>
      </c>
      <c r="E70" s="19" t="s">
        <v>2360</v>
      </c>
      <c r="F70" s="19" t="s">
        <v>2342</v>
      </c>
      <c r="G70" s="20">
        <v>882.55</v>
      </c>
      <c r="H70" s="5">
        <v>5.0</v>
      </c>
      <c r="I70" s="20">
        <v>4412.75</v>
      </c>
      <c r="J70" s="2" t="s">
        <v>257</v>
      </c>
      <c r="K70" s="2" t="s">
        <v>258</v>
      </c>
      <c r="L70" s="2" t="s">
        <v>259</v>
      </c>
    </row>
    <row r="71" ht="15.75" customHeight="1">
      <c r="A71" s="13">
        <v>45580.0</v>
      </c>
      <c r="B71" s="3" t="s">
        <v>29</v>
      </c>
      <c r="C71" s="2" t="str">
        <f t="shared" si="2"/>
        <v>Ciudad De Mexico</v>
      </c>
      <c r="D71" s="19" t="s">
        <v>2340</v>
      </c>
      <c r="E71" s="19" t="s">
        <v>2349</v>
      </c>
      <c r="F71" s="19" t="s">
        <v>2350</v>
      </c>
      <c r="G71" s="20">
        <v>1909.2</v>
      </c>
      <c r="H71" s="5">
        <v>3.0</v>
      </c>
      <c r="I71" s="20">
        <v>5727.6</v>
      </c>
      <c r="J71" s="2" t="s">
        <v>260</v>
      </c>
      <c r="K71" s="2" t="s">
        <v>261</v>
      </c>
      <c r="L71" s="2" t="s">
        <v>262</v>
      </c>
    </row>
    <row r="72" ht="15.75" customHeight="1">
      <c r="A72" s="13">
        <v>45580.0</v>
      </c>
      <c r="B72" s="3" t="s">
        <v>29</v>
      </c>
      <c r="C72" s="2" t="str">
        <f t="shared" si="2"/>
        <v>Ciudad De Mexico</v>
      </c>
      <c r="D72" s="19" t="s">
        <v>2340</v>
      </c>
      <c r="E72" s="19" t="s">
        <v>2341</v>
      </c>
      <c r="F72" s="19" t="s">
        <v>2345</v>
      </c>
      <c r="G72" s="20">
        <v>2381.87</v>
      </c>
      <c r="H72" s="5">
        <v>1.0</v>
      </c>
      <c r="I72" s="20">
        <v>2381.87</v>
      </c>
      <c r="J72" s="2" t="s">
        <v>263</v>
      </c>
      <c r="K72" s="2" t="s">
        <v>264</v>
      </c>
      <c r="L72" s="2" t="s">
        <v>265</v>
      </c>
    </row>
    <row r="73" ht="15.75" customHeight="1">
      <c r="A73" s="13">
        <v>45580.0</v>
      </c>
      <c r="B73" s="2" t="s">
        <v>34</v>
      </c>
      <c r="C73" s="2" t="str">
        <f t="shared" si="2"/>
        <v>Medellín</v>
      </c>
      <c r="D73" s="19" t="s">
        <v>2340</v>
      </c>
      <c r="E73" s="19" t="s">
        <v>2355</v>
      </c>
      <c r="F73" s="19" t="s">
        <v>2350</v>
      </c>
      <c r="G73" s="20">
        <v>68.0</v>
      </c>
      <c r="H73" s="5">
        <v>3.0</v>
      </c>
      <c r="I73" s="20">
        <v>204.0</v>
      </c>
      <c r="J73" s="2" t="s">
        <v>266</v>
      </c>
      <c r="K73" s="2" t="s">
        <v>267</v>
      </c>
      <c r="L73" s="2" t="s">
        <v>268</v>
      </c>
    </row>
    <row r="74" ht="15.75" customHeight="1">
      <c r="A74" s="13">
        <v>45580.0</v>
      </c>
      <c r="B74" s="3" t="s">
        <v>74</v>
      </c>
      <c r="C74" s="2" t="str">
        <f t="shared" si="2"/>
        <v>Cali</v>
      </c>
      <c r="D74" s="19" t="s">
        <v>2347</v>
      </c>
      <c r="E74" s="19" t="s">
        <v>2358</v>
      </c>
      <c r="F74" s="19" t="s">
        <v>2345</v>
      </c>
      <c r="G74" s="20">
        <v>571.73</v>
      </c>
      <c r="H74" s="5">
        <v>4.0</v>
      </c>
      <c r="I74" s="20">
        <v>2286.92</v>
      </c>
      <c r="J74" s="2" t="s">
        <v>270</v>
      </c>
      <c r="K74" s="2" t="s">
        <v>271</v>
      </c>
      <c r="L74" s="2" t="s">
        <v>272</v>
      </c>
    </row>
    <row r="75" ht="15.75" customHeight="1">
      <c r="A75" s="13">
        <v>45580.0</v>
      </c>
      <c r="B75" s="3" t="s">
        <v>14</v>
      </c>
      <c r="C75" s="2" t="str">
        <f t="shared" si="2"/>
        <v>Bogotá</v>
      </c>
      <c r="D75" s="19" t="s">
        <v>2343</v>
      </c>
      <c r="E75" s="19" t="s">
        <v>2344</v>
      </c>
      <c r="F75" s="19" t="s">
        <v>2345</v>
      </c>
      <c r="G75" s="20">
        <v>2009.75</v>
      </c>
      <c r="H75" s="5">
        <v>2.0</v>
      </c>
      <c r="I75" s="20">
        <v>4019.5</v>
      </c>
      <c r="J75" s="2" t="s">
        <v>273</v>
      </c>
      <c r="K75" s="2" t="s">
        <v>274</v>
      </c>
      <c r="L75" s="2" t="s">
        <v>275</v>
      </c>
    </row>
    <row r="76" ht="15.75" customHeight="1">
      <c r="A76" s="13">
        <v>45580.0</v>
      </c>
      <c r="B76" s="2" t="s">
        <v>57</v>
      </c>
      <c r="C76" s="2" t="str">
        <f t="shared" si="2"/>
        <v>Guadalajara</v>
      </c>
      <c r="D76" s="19" t="s">
        <v>2343</v>
      </c>
      <c r="E76" s="19" t="s">
        <v>2353</v>
      </c>
      <c r="F76" s="19" t="s">
        <v>2346</v>
      </c>
      <c r="G76" s="20">
        <v>2289.42</v>
      </c>
      <c r="H76" s="5">
        <v>4.0</v>
      </c>
      <c r="I76" s="20">
        <v>9157.68</v>
      </c>
      <c r="J76" s="2" t="s">
        <v>276</v>
      </c>
      <c r="K76" s="2" t="s">
        <v>277</v>
      </c>
      <c r="L76" s="2" t="s">
        <v>278</v>
      </c>
    </row>
    <row r="77" ht="15.75" customHeight="1">
      <c r="A77" s="13">
        <v>45580.0</v>
      </c>
      <c r="B77" s="3" t="s">
        <v>9</v>
      </c>
      <c r="C77" s="2" t="str">
        <f t="shared" si="2"/>
        <v>Monterrey</v>
      </c>
      <c r="D77" s="19" t="s">
        <v>2340</v>
      </c>
      <c r="E77" s="19" t="s">
        <v>2349</v>
      </c>
      <c r="F77" s="19" t="s">
        <v>2346</v>
      </c>
      <c r="G77" s="20">
        <v>1414.97</v>
      </c>
      <c r="H77" s="5">
        <v>1.0</v>
      </c>
      <c r="I77" s="20">
        <v>1414.97</v>
      </c>
      <c r="J77" s="2" t="s">
        <v>280</v>
      </c>
      <c r="K77" s="2" t="s">
        <v>281</v>
      </c>
      <c r="L77" s="2" t="s">
        <v>282</v>
      </c>
    </row>
    <row r="78" ht="15.75" customHeight="1">
      <c r="A78" s="13">
        <v>45580.0</v>
      </c>
      <c r="B78" s="3" t="s">
        <v>74</v>
      </c>
      <c r="C78" s="2" t="str">
        <f t="shared" si="2"/>
        <v>Cali</v>
      </c>
      <c r="D78" s="19" t="s">
        <v>2351</v>
      </c>
      <c r="E78" s="19" t="s">
        <v>2354</v>
      </c>
      <c r="F78" s="19" t="s">
        <v>2346</v>
      </c>
      <c r="G78" s="20">
        <v>2332.8</v>
      </c>
      <c r="H78" s="5">
        <v>1.0</v>
      </c>
      <c r="I78" s="20">
        <v>2332.8</v>
      </c>
      <c r="J78" s="2" t="s">
        <v>283</v>
      </c>
      <c r="K78" s="2" t="s">
        <v>284</v>
      </c>
      <c r="L78" s="2" t="s">
        <v>285</v>
      </c>
    </row>
    <row r="79" ht="15.75" customHeight="1">
      <c r="A79" s="13">
        <v>45580.0</v>
      </c>
      <c r="B79" s="3" t="s">
        <v>74</v>
      </c>
      <c r="C79" s="2" t="str">
        <f t="shared" si="2"/>
        <v>Cali</v>
      </c>
      <c r="D79" s="19" t="s">
        <v>2347</v>
      </c>
      <c r="E79" s="19" t="s">
        <v>2356</v>
      </c>
      <c r="F79" s="19" t="s">
        <v>2345</v>
      </c>
      <c r="G79" s="20">
        <v>379.5</v>
      </c>
      <c r="H79" s="5">
        <v>4.0</v>
      </c>
      <c r="I79" s="20">
        <v>1518.0</v>
      </c>
      <c r="J79" s="2" t="s">
        <v>286</v>
      </c>
      <c r="K79" s="2" t="s">
        <v>287</v>
      </c>
      <c r="L79" s="2" t="s">
        <v>288</v>
      </c>
    </row>
    <row r="80" ht="15.75" customHeight="1">
      <c r="A80" s="13">
        <v>45580.0</v>
      </c>
      <c r="B80" s="3" t="s">
        <v>9</v>
      </c>
      <c r="C80" s="2" t="str">
        <f t="shared" si="2"/>
        <v>Monterrey</v>
      </c>
      <c r="D80" s="19" t="s">
        <v>2347</v>
      </c>
      <c r="E80" s="19" t="s">
        <v>2348</v>
      </c>
      <c r="F80" s="19" t="s">
        <v>2346</v>
      </c>
      <c r="G80" s="20">
        <v>2020.01</v>
      </c>
      <c r="H80" s="5">
        <v>5.0</v>
      </c>
      <c r="I80" s="20">
        <v>10100.05</v>
      </c>
      <c r="J80" s="2" t="s">
        <v>290</v>
      </c>
      <c r="K80" s="2" t="s">
        <v>291</v>
      </c>
      <c r="L80" s="2" t="s">
        <v>292</v>
      </c>
    </row>
    <row r="81" ht="15.75" customHeight="1">
      <c r="A81" s="13">
        <v>45580.0</v>
      </c>
      <c r="B81" s="3" t="s">
        <v>9</v>
      </c>
      <c r="C81" s="2" t="str">
        <f t="shared" si="2"/>
        <v>Monterrey</v>
      </c>
      <c r="D81" s="19" t="s">
        <v>2343</v>
      </c>
      <c r="E81" s="19" t="s">
        <v>2344</v>
      </c>
      <c r="F81" s="19" t="s">
        <v>2345</v>
      </c>
      <c r="G81" s="20">
        <v>428.56</v>
      </c>
      <c r="H81" s="5">
        <v>1.0</v>
      </c>
      <c r="I81" s="20">
        <v>428.56</v>
      </c>
      <c r="J81" s="2" t="s">
        <v>293</v>
      </c>
      <c r="K81" s="2" t="s">
        <v>294</v>
      </c>
      <c r="L81" s="2" t="s">
        <v>295</v>
      </c>
    </row>
    <row r="82" ht="15.75" customHeight="1">
      <c r="A82" s="13">
        <v>45580.0</v>
      </c>
      <c r="B82" s="3" t="s">
        <v>74</v>
      </c>
      <c r="C82" s="2" t="str">
        <f t="shared" si="2"/>
        <v>Cali</v>
      </c>
      <c r="D82" s="19" t="s">
        <v>2340</v>
      </c>
      <c r="E82" s="19" t="s">
        <v>2341</v>
      </c>
      <c r="F82" s="19" t="s">
        <v>2346</v>
      </c>
      <c r="G82" s="20">
        <v>1966.38</v>
      </c>
      <c r="H82" s="5">
        <v>5.0</v>
      </c>
      <c r="I82" s="20">
        <v>9831.9</v>
      </c>
      <c r="J82" s="2" t="s">
        <v>296</v>
      </c>
      <c r="K82" s="2" t="s">
        <v>297</v>
      </c>
      <c r="L82" s="2" t="s">
        <v>298</v>
      </c>
    </row>
    <row r="83" ht="15.75" customHeight="1">
      <c r="A83" s="13">
        <v>45580.0</v>
      </c>
      <c r="B83" s="2" t="s">
        <v>34</v>
      </c>
      <c r="C83" s="2" t="str">
        <f t="shared" si="2"/>
        <v>Medellín</v>
      </c>
      <c r="D83" s="19" t="s">
        <v>2351</v>
      </c>
      <c r="E83" s="19" t="s">
        <v>2352</v>
      </c>
      <c r="F83" s="19" t="s">
        <v>2342</v>
      </c>
      <c r="G83" s="20">
        <v>2242.47</v>
      </c>
      <c r="H83" s="5">
        <v>4.0</v>
      </c>
      <c r="I83" s="20">
        <v>8969.88</v>
      </c>
      <c r="J83" s="2" t="s">
        <v>299</v>
      </c>
      <c r="K83" s="2" t="s">
        <v>300</v>
      </c>
      <c r="L83" s="2" t="s">
        <v>301</v>
      </c>
    </row>
    <row r="84" ht="15.75" customHeight="1">
      <c r="A84" s="13">
        <v>45580.0</v>
      </c>
      <c r="B84" s="2" t="s">
        <v>34</v>
      </c>
      <c r="C84" s="2" t="str">
        <f t="shared" si="2"/>
        <v>Medellín</v>
      </c>
      <c r="D84" s="19" t="s">
        <v>2340</v>
      </c>
      <c r="E84" s="19" t="s">
        <v>2341</v>
      </c>
      <c r="F84" s="19" t="s">
        <v>2350</v>
      </c>
      <c r="G84" s="20">
        <v>1896.1</v>
      </c>
      <c r="H84" s="5">
        <v>2.0</v>
      </c>
      <c r="I84" s="20">
        <v>3792.2</v>
      </c>
      <c r="J84" s="2" t="s">
        <v>302</v>
      </c>
      <c r="K84" s="2" t="s">
        <v>303</v>
      </c>
      <c r="L84" s="2" t="s">
        <v>304</v>
      </c>
    </row>
    <row r="85" ht="15.75" customHeight="1">
      <c r="A85" s="13">
        <v>45580.0</v>
      </c>
      <c r="B85" s="3" t="s">
        <v>14</v>
      </c>
      <c r="C85" s="2" t="str">
        <f t="shared" si="2"/>
        <v>Bogotá</v>
      </c>
      <c r="D85" s="19" t="s">
        <v>2347</v>
      </c>
      <c r="E85" s="19" t="s">
        <v>2356</v>
      </c>
      <c r="F85" s="19" t="s">
        <v>2350</v>
      </c>
      <c r="G85" s="20">
        <v>829.53</v>
      </c>
      <c r="H85" s="5">
        <v>4.0</v>
      </c>
      <c r="I85" s="20">
        <v>3318.12</v>
      </c>
      <c r="J85" s="2" t="s">
        <v>305</v>
      </c>
      <c r="K85" s="2" t="s">
        <v>306</v>
      </c>
      <c r="L85" s="2" t="s">
        <v>307</v>
      </c>
    </row>
    <row r="86" ht="15.75" customHeight="1">
      <c r="A86" s="13">
        <v>45580.0</v>
      </c>
      <c r="B86" s="2" t="s">
        <v>34</v>
      </c>
      <c r="C86" s="2" t="str">
        <f t="shared" si="2"/>
        <v>Medellín</v>
      </c>
      <c r="D86" s="19" t="s">
        <v>2351</v>
      </c>
      <c r="E86" s="19" t="s">
        <v>2354</v>
      </c>
      <c r="F86" s="19" t="s">
        <v>2345</v>
      </c>
      <c r="G86" s="20">
        <v>2377.34</v>
      </c>
      <c r="H86" s="5">
        <v>2.0</v>
      </c>
      <c r="I86" s="20">
        <v>4754.68</v>
      </c>
      <c r="J86" s="2" t="s">
        <v>309</v>
      </c>
      <c r="K86" s="2" t="s">
        <v>310</v>
      </c>
      <c r="L86" s="2" t="s">
        <v>311</v>
      </c>
    </row>
    <row r="87" ht="15.75" customHeight="1">
      <c r="A87" s="13">
        <v>45581.0</v>
      </c>
      <c r="B87" s="2" t="s">
        <v>57</v>
      </c>
      <c r="C87" s="2" t="str">
        <f t="shared" si="2"/>
        <v>Guadalajara</v>
      </c>
      <c r="D87" s="19" t="s">
        <v>2347</v>
      </c>
      <c r="E87" s="19" t="s">
        <v>2358</v>
      </c>
      <c r="F87" s="19" t="s">
        <v>2342</v>
      </c>
      <c r="G87" s="20">
        <v>1614.05</v>
      </c>
      <c r="H87" s="5">
        <v>1.0</v>
      </c>
      <c r="I87" s="20">
        <v>1614.05</v>
      </c>
      <c r="J87" s="2" t="s">
        <v>313</v>
      </c>
      <c r="K87" s="2" t="s">
        <v>314</v>
      </c>
      <c r="L87" s="2" t="s">
        <v>315</v>
      </c>
    </row>
    <row r="88" ht="15.75" customHeight="1">
      <c r="A88" s="13">
        <v>45581.0</v>
      </c>
      <c r="B88" s="3" t="s">
        <v>9</v>
      </c>
      <c r="C88" s="2" t="str">
        <f t="shared" si="2"/>
        <v>Monterrey</v>
      </c>
      <c r="D88" s="19" t="s">
        <v>2340</v>
      </c>
      <c r="E88" s="19" t="s">
        <v>2349</v>
      </c>
      <c r="F88" s="19" t="s">
        <v>2345</v>
      </c>
      <c r="G88" s="20">
        <v>1805.81</v>
      </c>
      <c r="H88" s="5">
        <v>3.0</v>
      </c>
      <c r="I88" s="20">
        <v>5417.43</v>
      </c>
      <c r="J88" s="2" t="s">
        <v>317</v>
      </c>
      <c r="K88" s="2" t="s">
        <v>318</v>
      </c>
      <c r="L88" s="2" t="s">
        <v>319</v>
      </c>
    </row>
    <row r="89" ht="15.75" customHeight="1">
      <c r="A89" s="13">
        <v>45581.0</v>
      </c>
      <c r="B89" s="2" t="s">
        <v>57</v>
      </c>
      <c r="C89" s="2" t="str">
        <f t="shared" si="2"/>
        <v>Guadalajara</v>
      </c>
      <c r="D89" s="19" t="s">
        <v>2340</v>
      </c>
      <c r="E89" s="19" t="s">
        <v>2355</v>
      </c>
      <c r="F89" s="19" t="s">
        <v>2346</v>
      </c>
      <c r="G89" s="20">
        <v>1112.48</v>
      </c>
      <c r="H89" s="5">
        <v>2.0</v>
      </c>
      <c r="I89" s="20">
        <v>2224.96</v>
      </c>
      <c r="J89" s="2" t="s">
        <v>320</v>
      </c>
      <c r="K89" s="2" t="s">
        <v>321</v>
      </c>
      <c r="L89" s="2" t="s">
        <v>322</v>
      </c>
    </row>
    <row r="90" ht="15.75" customHeight="1">
      <c r="A90" s="13">
        <v>45581.0</v>
      </c>
      <c r="B90" s="2" t="s">
        <v>57</v>
      </c>
      <c r="C90" s="2" t="str">
        <f t="shared" si="2"/>
        <v>Guadalajara</v>
      </c>
      <c r="D90" s="19" t="s">
        <v>2340</v>
      </c>
      <c r="E90" s="19" t="s">
        <v>2349</v>
      </c>
      <c r="F90" s="19" t="s">
        <v>2346</v>
      </c>
      <c r="G90" s="20">
        <v>2264.15</v>
      </c>
      <c r="H90" s="5">
        <v>5.0</v>
      </c>
      <c r="I90" s="20">
        <v>11320.75</v>
      </c>
      <c r="J90" s="2" t="s">
        <v>323</v>
      </c>
      <c r="K90" s="2" t="s">
        <v>324</v>
      </c>
      <c r="L90" s="2" t="s">
        <v>325</v>
      </c>
    </row>
    <row r="91" ht="15.75" customHeight="1">
      <c r="A91" s="18">
        <v>45581.0</v>
      </c>
      <c r="B91" s="3" t="s">
        <v>74</v>
      </c>
      <c r="C91" s="2" t="str">
        <f t="shared" si="2"/>
        <v>Cali</v>
      </c>
      <c r="D91" s="19" t="s">
        <v>2347</v>
      </c>
      <c r="E91" s="19" t="s">
        <v>2358</v>
      </c>
      <c r="F91" s="19" t="s">
        <v>2346</v>
      </c>
      <c r="G91" s="20">
        <v>833.39</v>
      </c>
      <c r="H91" s="5">
        <v>1.0</v>
      </c>
      <c r="I91" s="20">
        <v>833.39</v>
      </c>
      <c r="J91" s="2" t="s">
        <v>326</v>
      </c>
      <c r="K91" s="2" t="s">
        <v>327</v>
      </c>
      <c r="L91" s="2" t="s">
        <v>328</v>
      </c>
    </row>
    <row r="92" ht="15.75" customHeight="1">
      <c r="A92" s="13">
        <v>45581.0</v>
      </c>
      <c r="B92" s="3" t="s">
        <v>14</v>
      </c>
      <c r="C92" s="2" t="str">
        <f t="shared" si="2"/>
        <v>Bogotá</v>
      </c>
      <c r="D92" s="19" t="s">
        <v>2347</v>
      </c>
      <c r="E92" s="19" t="s">
        <v>2356</v>
      </c>
      <c r="F92" s="19" t="s">
        <v>2350</v>
      </c>
      <c r="G92" s="16">
        <f>I92/H92</f>
        <v>2341.77</v>
      </c>
      <c r="H92" s="5">
        <v>5.0</v>
      </c>
      <c r="I92" s="20">
        <v>11708.85</v>
      </c>
      <c r="J92" s="2" t="s">
        <v>329</v>
      </c>
      <c r="K92" s="2" t="s">
        <v>330</v>
      </c>
      <c r="L92" s="2" t="s">
        <v>331</v>
      </c>
    </row>
    <row r="93" ht="15.75" customHeight="1">
      <c r="A93" s="13">
        <v>45581.0</v>
      </c>
      <c r="B93" s="2" t="s">
        <v>34</v>
      </c>
      <c r="C93" s="2" t="str">
        <f t="shared" si="2"/>
        <v>Medellín</v>
      </c>
      <c r="D93" s="19" t="s">
        <v>2343</v>
      </c>
      <c r="E93" s="19" t="s">
        <v>2353</v>
      </c>
      <c r="F93" s="19" t="s">
        <v>2345</v>
      </c>
      <c r="G93" s="20">
        <v>397.5</v>
      </c>
      <c r="H93" s="5">
        <v>2.0</v>
      </c>
      <c r="I93" s="20">
        <v>795.0</v>
      </c>
      <c r="J93" s="2" t="s">
        <v>332</v>
      </c>
      <c r="K93" s="2" t="s">
        <v>333</v>
      </c>
      <c r="L93" s="2" t="s">
        <v>334</v>
      </c>
    </row>
    <row r="94" ht="15.75" customHeight="1">
      <c r="A94" s="13">
        <v>45581.0</v>
      </c>
      <c r="B94" s="3" t="s">
        <v>29</v>
      </c>
      <c r="C94" s="2" t="str">
        <f t="shared" si="2"/>
        <v>Ciudad De Mexico</v>
      </c>
      <c r="D94" s="19" t="s">
        <v>2351</v>
      </c>
      <c r="E94" s="19" t="s">
        <v>2357</v>
      </c>
      <c r="F94" s="19" t="s">
        <v>2345</v>
      </c>
      <c r="G94" s="20">
        <v>100.75</v>
      </c>
      <c r="H94" s="5">
        <v>1.0</v>
      </c>
      <c r="I94" s="20">
        <v>100.75</v>
      </c>
      <c r="J94" s="2" t="s">
        <v>335</v>
      </c>
      <c r="K94" s="2" t="s">
        <v>336</v>
      </c>
      <c r="L94" s="2" t="s">
        <v>337</v>
      </c>
    </row>
    <row r="95" ht="15.75" customHeight="1">
      <c r="A95" s="13">
        <v>45581.0</v>
      </c>
      <c r="B95" s="3" t="s">
        <v>29</v>
      </c>
      <c r="C95" s="2" t="str">
        <f t="shared" si="2"/>
        <v>Ciudad De Mexico</v>
      </c>
      <c r="D95" s="19" t="s">
        <v>2347</v>
      </c>
      <c r="E95" s="19" t="s">
        <v>2358</v>
      </c>
      <c r="F95" s="19" t="s">
        <v>2345</v>
      </c>
      <c r="G95" s="20">
        <v>1268.91</v>
      </c>
      <c r="H95" s="5">
        <v>2.0</v>
      </c>
      <c r="I95" s="20">
        <v>2537.82</v>
      </c>
      <c r="J95" s="2" t="s">
        <v>338</v>
      </c>
      <c r="K95" s="2" t="s">
        <v>339</v>
      </c>
      <c r="L95" s="2" t="s">
        <v>340</v>
      </c>
    </row>
    <row r="96" ht="15.75" customHeight="1">
      <c r="A96" s="13">
        <v>45581.0</v>
      </c>
      <c r="B96" s="3" t="s">
        <v>29</v>
      </c>
      <c r="C96" s="2" t="str">
        <f t="shared" si="2"/>
        <v>Ciudad De Mexico</v>
      </c>
      <c r="D96" s="19" t="s">
        <v>2351</v>
      </c>
      <c r="E96" s="19" t="s">
        <v>2354</v>
      </c>
      <c r="F96" s="19" t="s">
        <v>2342</v>
      </c>
      <c r="G96" s="20">
        <v>903.41</v>
      </c>
      <c r="H96" s="5">
        <v>3.0</v>
      </c>
      <c r="I96" s="20">
        <v>2710.23</v>
      </c>
      <c r="J96" s="2" t="s">
        <v>342</v>
      </c>
      <c r="K96" s="2" t="s">
        <v>343</v>
      </c>
      <c r="L96" s="2" t="s">
        <v>344</v>
      </c>
    </row>
    <row r="97" ht="15.75" customHeight="1">
      <c r="A97" s="13">
        <v>45581.0</v>
      </c>
      <c r="B97" s="2" t="s">
        <v>34</v>
      </c>
      <c r="C97" s="2" t="str">
        <f t="shared" si="2"/>
        <v>Medellín</v>
      </c>
      <c r="D97" s="19" t="s">
        <v>2351</v>
      </c>
      <c r="E97" s="19" t="s">
        <v>2354</v>
      </c>
      <c r="F97" s="19" t="s">
        <v>2342</v>
      </c>
      <c r="G97" s="20">
        <v>259.75</v>
      </c>
      <c r="H97" s="5">
        <v>4.0</v>
      </c>
      <c r="I97" s="20">
        <v>1039.0</v>
      </c>
      <c r="J97" s="2" t="s">
        <v>345</v>
      </c>
      <c r="K97" s="2" t="s">
        <v>346</v>
      </c>
      <c r="L97" s="2" t="s">
        <v>347</v>
      </c>
    </row>
    <row r="98" ht="15.75" customHeight="1">
      <c r="A98" s="13">
        <v>45582.0</v>
      </c>
      <c r="B98" s="3" t="s">
        <v>29</v>
      </c>
      <c r="C98" s="2" t="str">
        <f t="shared" si="2"/>
        <v>Ciudad De Mexico</v>
      </c>
      <c r="D98" s="19" t="s">
        <v>2343</v>
      </c>
      <c r="E98" s="19" t="s">
        <v>2353</v>
      </c>
      <c r="F98" s="19" t="s">
        <v>2342</v>
      </c>
      <c r="G98" s="20">
        <v>798.65</v>
      </c>
      <c r="H98" s="5">
        <v>1.0</v>
      </c>
      <c r="I98" s="20">
        <v>798.65</v>
      </c>
      <c r="J98" s="2" t="s">
        <v>348</v>
      </c>
      <c r="K98" s="2" t="s">
        <v>349</v>
      </c>
      <c r="L98" s="2" t="s">
        <v>350</v>
      </c>
    </row>
    <row r="99" ht="15.75" customHeight="1">
      <c r="A99" s="13">
        <v>45582.0</v>
      </c>
      <c r="B99" s="3" t="s">
        <v>9</v>
      </c>
      <c r="C99" s="2" t="str">
        <f t="shared" si="2"/>
        <v>Monterrey</v>
      </c>
      <c r="D99" s="19" t="s">
        <v>2347</v>
      </c>
      <c r="E99" s="19" t="s">
        <v>2356</v>
      </c>
      <c r="F99" s="19" t="s">
        <v>2345</v>
      </c>
      <c r="G99" s="20">
        <v>1937.4</v>
      </c>
      <c r="H99" s="5">
        <v>2.0</v>
      </c>
      <c r="I99" s="20">
        <v>3874.8</v>
      </c>
      <c r="J99" s="2" t="s">
        <v>351</v>
      </c>
      <c r="K99" s="2" t="s">
        <v>352</v>
      </c>
      <c r="L99" s="2" t="s">
        <v>353</v>
      </c>
    </row>
    <row r="100" ht="15.75" customHeight="1">
      <c r="A100" s="13">
        <v>45582.0</v>
      </c>
      <c r="B100" s="2" t="s">
        <v>34</v>
      </c>
      <c r="C100" s="2" t="str">
        <f t="shared" si="2"/>
        <v>Medellín</v>
      </c>
      <c r="D100" s="19" t="s">
        <v>2351</v>
      </c>
      <c r="E100" s="19" t="s">
        <v>2352</v>
      </c>
      <c r="F100" s="19" t="s">
        <v>2345</v>
      </c>
      <c r="G100" s="20">
        <v>1866.74</v>
      </c>
      <c r="H100" s="5">
        <v>4.0</v>
      </c>
      <c r="I100" s="20">
        <v>7466.96</v>
      </c>
      <c r="J100" s="2" t="s">
        <v>354</v>
      </c>
      <c r="K100" s="2" t="s">
        <v>355</v>
      </c>
      <c r="L100" s="2" t="s">
        <v>356</v>
      </c>
    </row>
    <row r="101" ht="15.75" customHeight="1">
      <c r="A101" s="13">
        <v>45582.0</v>
      </c>
      <c r="B101" s="3" t="s">
        <v>29</v>
      </c>
      <c r="C101" s="2" t="str">
        <f t="shared" si="2"/>
        <v>Ciudad De Mexico</v>
      </c>
      <c r="D101" s="19" t="s">
        <v>2343</v>
      </c>
      <c r="E101" s="19" t="s">
        <v>2344</v>
      </c>
      <c r="F101" s="19" t="s">
        <v>2346</v>
      </c>
      <c r="G101" s="20">
        <v>1093.69</v>
      </c>
      <c r="H101" s="5">
        <v>1.0</v>
      </c>
      <c r="I101" s="20">
        <v>1093.69</v>
      </c>
      <c r="J101" s="2" t="s">
        <v>357</v>
      </c>
      <c r="K101" s="2" t="s">
        <v>358</v>
      </c>
      <c r="L101" s="7" t="s">
        <v>359</v>
      </c>
    </row>
    <row r="102" ht="15.75" customHeight="1">
      <c r="A102" s="13">
        <v>45582.0</v>
      </c>
      <c r="B102" s="3" t="s">
        <v>9</v>
      </c>
      <c r="C102" s="2" t="str">
        <f t="shared" si="2"/>
        <v>Monterrey</v>
      </c>
      <c r="D102" s="19" t="s">
        <v>2347</v>
      </c>
      <c r="E102" s="19" t="s">
        <v>2358</v>
      </c>
      <c r="F102" s="19" t="s">
        <v>2346</v>
      </c>
      <c r="G102" s="20">
        <v>2063.13</v>
      </c>
      <c r="H102" s="5">
        <v>4.0</v>
      </c>
      <c r="I102" s="20">
        <v>8252.52</v>
      </c>
      <c r="J102" s="2" t="s">
        <v>360</v>
      </c>
      <c r="K102" s="2" t="s">
        <v>361</v>
      </c>
      <c r="L102" s="2" t="s">
        <v>362</v>
      </c>
    </row>
    <row r="103" ht="15.75" customHeight="1">
      <c r="A103" s="13">
        <v>45582.0</v>
      </c>
      <c r="B103" s="3" t="s">
        <v>74</v>
      </c>
      <c r="C103" s="2" t="str">
        <f t="shared" si="2"/>
        <v>Cali</v>
      </c>
      <c r="D103" s="22" t="s">
        <v>2347</v>
      </c>
      <c r="E103" s="19" t="s">
        <v>2356</v>
      </c>
      <c r="F103" s="19" t="s">
        <v>2342</v>
      </c>
      <c r="G103" s="20">
        <v>1091.59</v>
      </c>
      <c r="H103" s="5">
        <v>5.0</v>
      </c>
      <c r="I103" s="20">
        <v>5457.95</v>
      </c>
      <c r="J103" s="2" t="s">
        <v>363</v>
      </c>
      <c r="K103" s="2" t="s">
        <v>364</v>
      </c>
      <c r="L103" s="2" t="s">
        <v>365</v>
      </c>
    </row>
    <row r="104" ht="15.75" customHeight="1">
      <c r="A104" s="13">
        <v>45582.0</v>
      </c>
      <c r="B104" s="3" t="s">
        <v>14</v>
      </c>
      <c r="C104" s="2" t="str">
        <f t="shared" si="2"/>
        <v>Bogotá</v>
      </c>
      <c r="D104" s="19" t="s">
        <v>2343</v>
      </c>
      <c r="E104" s="19" t="s">
        <v>2344</v>
      </c>
      <c r="F104" s="19" t="s">
        <v>2350</v>
      </c>
      <c r="G104" s="20">
        <v>271.81</v>
      </c>
      <c r="H104" s="5">
        <v>2.0</v>
      </c>
      <c r="I104" s="16">
        <f>G104*H104</f>
        <v>543.62</v>
      </c>
      <c r="J104" s="2" t="s">
        <v>367</v>
      </c>
      <c r="K104" s="2" t="s">
        <v>368</v>
      </c>
      <c r="L104" s="2" t="s">
        <v>369</v>
      </c>
    </row>
    <row r="105" ht="15.75" customHeight="1">
      <c r="A105" s="13">
        <v>45582.0</v>
      </c>
      <c r="B105" s="3" t="s">
        <v>29</v>
      </c>
      <c r="C105" s="2" t="str">
        <f t="shared" si="2"/>
        <v>Ciudad De Mexico</v>
      </c>
      <c r="D105" s="19" t="s">
        <v>2347</v>
      </c>
      <c r="E105" s="19" t="s">
        <v>2356</v>
      </c>
      <c r="F105" s="19" t="s">
        <v>2346</v>
      </c>
      <c r="G105" s="20">
        <v>2392.27</v>
      </c>
      <c r="H105" s="5">
        <v>4.0</v>
      </c>
      <c r="I105" s="20">
        <v>9569.08</v>
      </c>
      <c r="J105" s="2" t="s">
        <v>371</v>
      </c>
      <c r="K105" s="2" t="s">
        <v>372</v>
      </c>
      <c r="L105" s="2" t="s">
        <v>373</v>
      </c>
    </row>
    <row r="106" ht="15.75" customHeight="1">
      <c r="A106" s="13">
        <v>45582.0</v>
      </c>
      <c r="B106" s="2" t="s">
        <v>57</v>
      </c>
      <c r="C106" s="2" t="str">
        <f t="shared" si="2"/>
        <v>Guadalajara</v>
      </c>
      <c r="D106" s="19" t="s">
        <v>2347</v>
      </c>
      <c r="E106" s="19" t="s">
        <v>2358</v>
      </c>
      <c r="F106" s="19" t="s">
        <v>2350</v>
      </c>
      <c r="G106" s="20">
        <v>2411.28</v>
      </c>
      <c r="H106" s="5">
        <v>4.0</v>
      </c>
      <c r="I106" s="20">
        <v>9645.12</v>
      </c>
      <c r="J106" s="2" t="s">
        <v>374</v>
      </c>
      <c r="K106" s="2" t="s">
        <v>375</v>
      </c>
      <c r="L106" s="2" t="s">
        <v>376</v>
      </c>
    </row>
    <row r="107" ht="15.75" customHeight="1">
      <c r="A107" s="13">
        <v>45582.0</v>
      </c>
      <c r="B107" s="3" t="s">
        <v>29</v>
      </c>
      <c r="C107" s="2" t="str">
        <f t="shared" si="2"/>
        <v>Ciudad De Mexico</v>
      </c>
      <c r="D107" s="19" t="s">
        <v>2351</v>
      </c>
      <c r="E107" s="19" t="s">
        <v>2352</v>
      </c>
      <c r="F107" s="19" t="s">
        <v>2342</v>
      </c>
      <c r="G107" s="20">
        <v>303.84</v>
      </c>
      <c r="H107" s="5">
        <v>1.0</v>
      </c>
      <c r="I107" s="20">
        <v>303.84</v>
      </c>
      <c r="J107" s="2" t="s">
        <v>377</v>
      </c>
      <c r="K107" s="2" t="s">
        <v>378</v>
      </c>
      <c r="L107" s="2" t="s">
        <v>379</v>
      </c>
    </row>
    <row r="108" ht="15.75" customHeight="1">
      <c r="A108" s="13">
        <v>45582.0</v>
      </c>
      <c r="B108" s="3" t="s">
        <v>74</v>
      </c>
      <c r="C108" s="2" t="str">
        <f t="shared" si="2"/>
        <v>Cali</v>
      </c>
      <c r="D108" s="19" t="s">
        <v>2340</v>
      </c>
      <c r="E108" s="19" t="s">
        <v>2349</v>
      </c>
      <c r="F108" s="19" t="s">
        <v>2345</v>
      </c>
      <c r="G108" s="20">
        <v>228.78</v>
      </c>
      <c r="H108" s="5">
        <v>1.0</v>
      </c>
      <c r="I108" s="20">
        <v>228.78</v>
      </c>
      <c r="J108" s="2" t="s">
        <v>380</v>
      </c>
      <c r="K108" s="2" t="s">
        <v>381</v>
      </c>
      <c r="L108" s="2" t="s">
        <v>382</v>
      </c>
    </row>
    <row r="109" ht="15.75" customHeight="1">
      <c r="A109" s="13">
        <v>45583.0</v>
      </c>
      <c r="B109" s="3" t="s">
        <v>9</v>
      </c>
      <c r="C109" s="2" t="str">
        <f t="shared" si="2"/>
        <v>Monterrey</v>
      </c>
      <c r="D109" s="19" t="s">
        <v>2343</v>
      </c>
      <c r="E109" s="19" t="s">
        <v>2353</v>
      </c>
      <c r="F109" s="19" t="s">
        <v>2350</v>
      </c>
      <c r="G109" s="20">
        <v>721.04</v>
      </c>
      <c r="H109" s="5">
        <v>4.0</v>
      </c>
      <c r="I109" s="20">
        <v>2884.16</v>
      </c>
      <c r="J109" s="2" t="s">
        <v>383</v>
      </c>
      <c r="K109" s="2" t="s">
        <v>384</v>
      </c>
      <c r="L109" s="2" t="s">
        <v>385</v>
      </c>
    </row>
    <row r="110" ht="15.75" customHeight="1">
      <c r="A110" s="13">
        <v>45583.0</v>
      </c>
      <c r="B110" s="3" t="s">
        <v>74</v>
      </c>
      <c r="C110" s="2" t="str">
        <f t="shared" si="2"/>
        <v>Cali</v>
      </c>
      <c r="D110" s="19" t="s">
        <v>2343</v>
      </c>
      <c r="E110" s="19" t="s">
        <v>2360</v>
      </c>
      <c r="F110" s="19" t="s">
        <v>2350</v>
      </c>
      <c r="G110" s="20">
        <v>594.52</v>
      </c>
      <c r="H110" s="5">
        <v>2.0</v>
      </c>
      <c r="I110" s="20">
        <v>1189.04</v>
      </c>
      <c r="J110" s="2" t="s">
        <v>387</v>
      </c>
      <c r="K110" s="2" t="s">
        <v>388</v>
      </c>
      <c r="L110" s="2" t="s">
        <v>389</v>
      </c>
    </row>
    <row r="111" ht="15.75" customHeight="1">
      <c r="A111" s="13">
        <v>45583.0</v>
      </c>
      <c r="B111" s="3" t="s">
        <v>9</v>
      </c>
      <c r="C111" s="2" t="str">
        <f t="shared" si="2"/>
        <v>Monterrey</v>
      </c>
      <c r="D111" s="19" t="s">
        <v>2351</v>
      </c>
      <c r="E111" s="19" t="s">
        <v>2354</v>
      </c>
      <c r="F111" s="19" t="s">
        <v>2342</v>
      </c>
      <c r="G111" s="20">
        <v>1612.96</v>
      </c>
      <c r="H111" s="5">
        <v>1.0</v>
      </c>
      <c r="I111" s="20">
        <v>1612.96</v>
      </c>
      <c r="J111" s="2" t="s">
        <v>390</v>
      </c>
      <c r="K111" s="2" t="s">
        <v>391</v>
      </c>
      <c r="L111" s="2" t="s">
        <v>392</v>
      </c>
    </row>
    <row r="112" ht="15.75" customHeight="1">
      <c r="A112" s="13">
        <v>45583.0</v>
      </c>
      <c r="B112" s="3" t="s">
        <v>14</v>
      </c>
      <c r="C112" s="2" t="str">
        <f t="shared" si="2"/>
        <v>Bogotá</v>
      </c>
      <c r="D112" s="19" t="s">
        <v>2347</v>
      </c>
      <c r="E112" s="19" t="s">
        <v>2348</v>
      </c>
      <c r="F112" s="19" t="s">
        <v>2346</v>
      </c>
      <c r="G112" s="20">
        <v>169.21</v>
      </c>
      <c r="H112" s="5">
        <v>3.0</v>
      </c>
      <c r="I112" s="20">
        <v>507.63</v>
      </c>
      <c r="J112" s="2" t="s">
        <v>393</v>
      </c>
      <c r="K112" s="2" t="s">
        <v>394</v>
      </c>
      <c r="L112" s="2" t="s">
        <v>395</v>
      </c>
    </row>
    <row r="113" ht="15.75" customHeight="1">
      <c r="A113" s="13">
        <v>45583.0</v>
      </c>
      <c r="B113" s="3" t="s">
        <v>14</v>
      </c>
      <c r="C113" s="2" t="str">
        <f t="shared" si="2"/>
        <v>Bogotá</v>
      </c>
      <c r="D113" s="19" t="s">
        <v>2351</v>
      </c>
      <c r="E113" s="19" t="s">
        <v>2357</v>
      </c>
      <c r="F113" s="19" t="s">
        <v>2350</v>
      </c>
      <c r="G113" s="20">
        <v>709.65</v>
      </c>
      <c r="H113" s="5">
        <v>3.0</v>
      </c>
      <c r="I113" s="20">
        <v>2128.95</v>
      </c>
      <c r="J113" s="2" t="s">
        <v>397</v>
      </c>
      <c r="K113" s="2" t="s">
        <v>398</v>
      </c>
      <c r="L113" s="2" t="s">
        <v>399</v>
      </c>
    </row>
    <row r="114" ht="15.75" customHeight="1">
      <c r="A114" s="13">
        <v>45583.0</v>
      </c>
      <c r="B114" s="3" t="s">
        <v>14</v>
      </c>
      <c r="C114" s="2" t="str">
        <f t="shared" si="2"/>
        <v>Bogotá</v>
      </c>
      <c r="D114" s="19" t="s">
        <v>2351</v>
      </c>
      <c r="E114" s="19" t="s">
        <v>2352</v>
      </c>
      <c r="F114" s="19" t="s">
        <v>2345</v>
      </c>
      <c r="G114" s="20">
        <v>1750.63</v>
      </c>
      <c r="H114" s="5">
        <v>5.0</v>
      </c>
      <c r="I114" s="20">
        <v>8753.15</v>
      </c>
      <c r="J114" s="2" t="s">
        <v>400</v>
      </c>
      <c r="K114" s="2" t="s">
        <v>401</v>
      </c>
      <c r="L114" s="2" t="s">
        <v>402</v>
      </c>
    </row>
    <row r="115" ht="15.75" customHeight="1">
      <c r="A115" s="13">
        <v>45583.0</v>
      </c>
      <c r="B115" s="2" t="s">
        <v>57</v>
      </c>
      <c r="C115" s="2" t="str">
        <f t="shared" si="2"/>
        <v>Guadalajara</v>
      </c>
      <c r="D115" s="19" t="s">
        <v>2347</v>
      </c>
      <c r="E115" s="19" t="s">
        <v>2356</v>
      </c>
      <c r="F115" s="19" t="s">
        <v>2345</v>
      </c>
      <c r="G115" s="16">
        <f>I115/H115</f>
        <v>1564.96</v>
      </c>
      <c r="H115" s="5">
        <v>4.0</v>
      </c>
      <c r="I115" s="20">
        <v>6259.84</v>
      </c>
      <c r="J115" s="2" t="s">
        <v>403</v>
      </c>
      <c r="K115" s="2" t="s">
        <v>404</v>
      </c>
      <c r="L115" s="2" t="s">
        <v>405</v>
      </c>
    </row>
    <row r="116" ht="15.75" customHeight="1">
      <c r="A116" s="13">
        <v>45583.0</v>
      </c>
      <c r="B116" s="2" t="s">
        <v>34</v>
      </c>
      <c r="C116" s="2" t="str">
        <f t="shared" si="2"/>
        <v>Medellín</v>
      </c>
      <c r="D116" s="19" t="s">
        <v>2340</v>
      </c>
      <c r="E116" s="19" t="s">
        <v>2341</v>
      </c>
      <c r="F116" s="19" t="s">
        <v>2350</v>
      </c>
      <c r="G116" s="20">
        <v>1972.43</v>
      </c>
      <c r="H116" s="5">
        <v>5.0</v>
      </c>
      <c r="I116" s="20">
        <v>9862.15</v>
      </c>
      <c r="J116" s="2" t="s">
        <v>406</v>
      </c>
      <c r="K116" s="2" t="s">
        <v>407</v>
      </c>
      <c r="L116" s="2" t="s">
        <v>408</v>
      </c>
    </row>
    <row r="117" ht="15.75" customHeight="1">
      <c r="A117" s="13">
        <v>45583.0</v>
      </c>
      <c r="B117" s="3" t="s">
        <v>29</v>
      </c>
      <c r="C117" s="2" t="str">
        <f t="shared" si="2"/>
        <v>Ciudad De Mexico</v>
      </c>
      <c r="D117" s="19" t="s">
        <v>2340</v>
      </c>
      <c r="E117" s="19" t="s">
        <v>2341</v>
      </c>
      <c r="F117" s="19" t="s">
        <v>2342</v>
      </c>
      <c r="G117" s="20">
        <v>2431.8</v>
      </c>
      <c r="H117" s="5">
        <v>2.0</v>
      </c>
      <c r="I117" s="20">
        <v>4863.6</v>
      </c>
      <c r="J117" s="2" t="s">
        <v>409</v>
      </c>
      <c r="K117" s="2" t="s">
        <v>410</v>
      </c>
      <c r="L117" s="2" t="s">
        <v>411</v>
      </c>
    </row>
    <row r="118" ht="15.75" customHeight="1">
      <c r="A118" s="13">
        <v>45583.0</v>
      </c>
      <c r="B118" s="2" t="s">
        <v>57</v>
      </c>
      <c r="C118" s="2" t="str">
        <f t="shared" si="2"/>
        <v>Guadalajara</v>
      </c>
      <c r="D118" s="19" t="s">
        <v>2351</v>
      </c>
      <c r="E118" s="19" t="s">
        <v>2357</v>
      </c>
      <c r="F118" s="19" t="s">
        <v>2346</v>
      </c>
      <c r="G118" s="20">
        <v>904.01</v>
      </c>
      <c r="H118" s="5">
        <v>1.0</v>
      </c>
      <c r="I118" s="20">
        <v>904.01</v>
      </c>
      <c r="J118" s="2" t="s">
        <v>412</v>
      </c>
      <c r="K118" s="2" t="s">
        <v>413</v>
      </c>
      <c r="L118" s="2" t="s">
        <v>414</v>
      </c>
    </row>
    <row r="119" ht="15.75" customHeight="1">
      <c r="A119" s="13">
        <v>45583.0</v>
      </c>
      <c r="B119" s="3" t="s">
        <v>74</v>
      </c>
      <c r="C119" s="2" t="str">
        <f t="shared" si="2"/>
        <v>Cali</v>
      </c>
      <c r="D119" s="19" t="s">
        <v>2351</v>
      </c>
      <c r="E119" s="19" t="s">
        <v>2354</v>
      </c>
      <c r="F119" s="19" t="s">
        <v>2345</v>
      </c>
      <c r="G119" s="20">
        <v>700.55</v>
      </c>
      <c r="H119" s="5">
        <v>5.0</v>
      </c>
      <c r="I119" s="20">
        <v>3502.75</v>
      </c>
      <c r="J119" s="3" t="s">
        <v>415</v>
      </c>
      <c r="K119" s="2" t="s">
        <v>416</v>
      </c>
      <c r="L119" s="2" t="s">
        <v>417</v>
      </c>
    </row>
    <row r="120" ht="15.75" customHeight="1">
      <c r="A120" s="13">
        <v>45583.0</v>
      </c>
      <c r="B120" s="2" t="s">
        <v>34</v>
      </c>
      <c r="C120" s="2" t="str">
        <f t="shared" si="2"/>
        <v>Medellín</v>
      </c>
      <c r="D120" s="19" t="s">
        <v>2340</v>
      </c>
      <c r="E120" s="19" t="s">
        <v>2341</v>
      </c>
      <c r="F120" s="19" t="s">
        <v>2346</v>
      </c>
      <c r="G120" s="20">
        <v>1034.4</v>
      </c>
      <c r="H120" s="5">
        <v>1.0</v>
      </c>
      <c r="I120" s="20">
        <v>1034.4</v>
      </c>
      <c r="J120" s="2" t="s">
        <v>418</v>
      </c>
      <c r="K120" s="2" t="s">
        <v>419</v>
      </c>
      <c r="L120" s="2" t="s">
        <v>420</v>
      </c>
    </row>
    <row r="121" ht="15.75" customHeight="1">
      <c r="A121" s="13">
        <v>45584.0</v>
      </c>
      <c r="B121" s="3" t="s">
        <v>74</v>
      </c>
      <c r="C121" s="2" t="str">
        <f t="shared" si="2"/>
        <v>Cali</v>
      </c>
      <c r="D121" s="19" t="s">
        <v>2340</v>
      </c>
      <c r="E121" s="19" t="s">
        <v>2341</v>
      </c>
      <c r="F121" s="19" t="s">
        <v>2345</v>
      </c>
      <c r="G121" s="20">
        <v>902.5</v>
      </c>
      <c r="H121" s="5">
        <v>3.0</v>
      </c>
      <c r="I121" s="20">
        <v>2707.5</v>
      </c>
      <c r="J121" s="2" t="s">
        <v>421</v>
      </c>
      <c r="K121" s="2" t="s">
        <v>422</v>
      </c>
      <c r="L121" s="2" t="s">
        <v>423</v>
      </c>
    </row>
    <row r="122" ht="15.75" customHeight="1">
      <c r="A122" s="13">
        <v>45584.0</v>
      </c>
      <c r="B122" s="3" t="s">
        <v>74</v>
      </c>
      <c r="C122" s="2" t="str">
        <f t="shared" si="2"/>
        <v>Cali</v>
      </c>
      <c r="D122" s="19" t="s">
        <v>2343</v>
      </c>
      <c r="E122" s="19" t="s">
        <v>2344</v>
      </c>
      <c r="F122" s="19" t="s">
        <v>2345</v>
      </c>
      <c r="G122" s="20">
        <v>713.75</v>
      </c>
      <c r="H122" s="5">
        <v>3.0</v>
      </c>
      <c r="I122" s="20">
        <v>2141.25</v>
      </c>
      <c r="J122" s="2" t="s">
        <v>424</v>
      </c>
      <c r="K122" s="2" t="s">
        <v>425</v>
      </c>
      <c r="L122" s="2" t="s">
        <v>426</v>
      </c>
    </row>
    <row r="123" ht="15.75" customHeight="1">
      <c r="A123" s="13">
        <v>45584.0</v>
      </c>
      <c r="B123" s="3" t="s">
        <v>9</v>
      </c>
      <c r="C123" s="2" t="str">
        <f t="shared" si="2"/>
        <v>Monterrey</v>
      </c>
      <c r="D123" s="19" t="s">
        <v>2347</v>
      </c>
      <c r="E123" s="19" t="s">
        <v>2348</v>
      </c>
      <c r="F123" s="19" t="s">
        <v>2350</v>
      </c>
      <c r="G123" s="20">
        <v>2484.74</v>
      </c>
      <c r="H123" s="5">
        <v>5.0</v>
      </c>
      <c r="I123" s="20">
        <v>12423.7</v>
      </c>
      <c r="J123" s="2" t="s">
        <v>428</v>
      </c>
      <c r="K123" s="2" t="s">
        <v>429</v>
      </c>
      <c r="L123" s="2" t="s">
        <v>430</v>
      </c>
    </row>
    <row r="124" ht="15.75" customHeight="1">
      <c r="A124" s="13">
        <v>45584.0</v>
      </c>
      <c r="B124" s="2" t="s">
        <v>57</v>
      </c>
      <c r="C124" s="2" t="str">
        <f t="shared" si="2"/>
        <v>Guadalajara</v>
      </c>
      <c r="D124" s="19" t="s">
        <v>2351</v>
      </c>
      <c r="E124" s="19" t="s">
        <v>2352</v>
      </c>
      <c r="F124" s="19" t="s">
        <v>2345</v>
      </c>
      <c r="G124" s="20">
        <v>2182.83</v>
      </c>
      <c r="H124" s="5">
        <v>4.0</v>
      </c>
      <c r="I124" s="20">
        <v>8731.32</v>
      </c>
      <c r="J124" s="2" t="s">
        <v>431</v>
      </c>
      <c r="K124" s="2" t="s">
        <v>432</v>
      </c>
      <c r="L124" s="2" t="s">
        <v>433</v>
      </c>
    </row>
    <row r="125" ht="15.75" customHeight="1">
      <c r="A125" s="13">
        <v>45584.0</v>
      </c>
      <c r="B125" s="2" t="s">
        <v>57</v>
      </c>
      <c r="C125" s="2" t="str">
        <f t="shared" si="2"/>
        <v>Guadalajara</v>
      </c>
      <c r="D125" s="19" t="s">
        <v>2347</v>
      </c>
      <c r="E125" s="19" t="s">
        <v>2348</v>
      </c>
      <c r="F125" s="19" t="s">
        <v>2350</v>
      </c>
      <c r="G125" s="20">
        <v>2329.03</v>
      </c>
      <c r="H125" s="5">
        <v>4.0</v>
      </c>
      <c r="I125" s="20">
        <v>9316.12</v>
      </c>
      <c r="J125" s="2" t="s">
        <v>434</v>
      </c>
      <c r="K125" s="2" t="s">
        <v>435</v>
      </c>
      <c r="L125" s="2" t="s">
        <v>436</v>
      </c>
    </row>
    <row r="126" ht="15.75" customHeight="1">
      <c r="A126" s="13">
        <v>45584.0</v>
      </c>
      <c r="B126" s="3" t="s">
        <v>14</v>
      </c>
      <c r="C126" s="2" t="str">
        <f t="shared" si="2"/>
        <v>Bogotá</v>
      </c>
      <c r="D126" s="19" t="s">
        <v>2347</v>
      </c>
      <c r="E126" s="19" t="s">
        <v>2348</v>
      </c>
      <c r="F126" s="19" t="s">
        <v>2345</v>
      </c>
      <c r="G126" s="20">
        <v>130.05</v>
      </c>
      <c r="H126" s="5">
        <v>1.0</v>
      </c>
      <c r="I126" s="20">
        <v>130.05</v>
      </c>
      <c r="J126" s="2" t="s">
        <v>437</v>
      </c>
      <c r="K126" s="2" t="s">
        <v>438</v>
      </c>
      <c r="L126" s="2" t="s">
        <v>439</v>
      </c>
    </row>
    <row r="127" ht="15.75" customHeight="1">
      <c r="A127" s="13">
        <v>45584.0</v>
      </c>
      <c r="B127" s="2" t="s">
        <v>57</v>
      </c>
      <c r="C127" s="2" t="str">
        <f t="shared" si="2"/>
        <v>Guadalajara</v>
      </c>
      <c r="D127" s="19" t="s">
        <v>2347</v>
      </c>
      <c r="E127" s="19" t="s">
        <v>2358</v>
      </c>
      <c r="F127" s="19" t="s">
        <v>2345</v>
      </c>
      <c r="G127" s="20">
        <v>1564.37</v>
      </c>
      <c r="H127" s="5">
        <v>1.0</v>
      </c>
      <c r="I127" s="20">
        <v>1564.37</v>
      </c>
      <c r="J127" s="2" t="s">
        <v>440</v>
      </c>
      <c r="K127" s="2" t="s">
        <v>441</v>
      </c>
      <c r="L127" s="2" t="s">
        <v>442</v>
      </c>
    </row>
    <row r="128" ht="15.75" customHeight="1">
      <c r="A128" s="13">
        <v>45584.0</v>
      </c>
      <c r="B128" s="3" t="s">
        <v>74</v>
      </c>
      <c r="C128" s="2" t="str">
        <f t="shared" si="2"/>
        <v>Cali</v>
      </c>
      <c r="D128" s="19" t="s">
        <v>2343</v>
      </c>
      <c r="E128" s="19" t="s">
        <v>2344</v>
      </c>
      <c r="F128" s="19" t="s">
        <v>2345</v>
      </c>
      <c r="G128" s="20">
        <v>2317.94</v>
      </c>
      <c r="H128" s="5">
        <v>4.0</v>
      </c>
      <c r="I128" s="20">
        <v>9271.76</v>
      </c>
      <c r="J128" s="2" t="s">
        <v>443</v>
      </c>
      <c r="K128" s="2" t="s">
        <v>444</v>
      </c>
      <c r="L128" s="2" t="s">
        <v>445</v>
      </c>
    </row>
    <row r="129" ht="15.75" customHeight="1">
      <c r="A129" s="13">
        <v>45584.0</v>
      </c>
      <c r="B129" s="3" t="s">
        <v>14</v>
      </c>
      <c r="C129" s="2" t="str">
        <f t="shared" si="2"/>
        <v>Bogotá</v>
      </c>
      <c r="D129" s="19" t="s">
        <v>2351</v>
      </c>
      <c r="E129" s="19" t="s">
        <v>2357</v>
      </c>
      <c r="F129" s="19" t="s">
        <v>2346</v>
      </c>
      <c r="G129" s="20">
        <v>722.95</v>
      </c>
      <c r="H129" s="5">
        <v>3.0</v>
      </c>
      <c r="I129" s="20">
        <v>2168.85</v>
      </c>
      <c r="J129" s="2" t="s">
        <v>446</v>
      </c>
      <c r="K129" s="2" t="s">
        <v>447</v>
      </c>
      <c r="L129" s="2" t="s">
        <v>448</v>
      </c>
    </row>
    <row r="130" ht="15.75" customHeight="1">
      <c r="A130" s="13">
        <v>45584.0</v>
      </c>
      <c r="B130" s="3" t="s">
        <v>29</v>
      </c>
      <c r="C130" s="2" t="str">
        <f t="shared" si="2"/>
        <v>Ciudad De Mexico</v>
      </c>
      <c r="D130" s="19" t="s">
        <v>2343</v>
      </c>
      <c r="E130" s="19" t="s">
        <v>2353</v>
      </c>
      <c r="F130" s="19" t="s">
        <v>2345</v>
      </c>
      <c r="G130" s="20">
        <v>242.27</v>
      </c>
      <c r="H130" s="5">
        <v>1.0</v>
      </c>
      <c r="I130" s="20">
        <v>242.27</v>
      </c>
      <c r="J130" s="2" t="s">
        <v>449</v>
      </c>
      <c r="K130" s="2" t="s">
        <v>450</v>
      </c>
      <c r="L130" s="2" t="s">
        <v>451</v>
      </c>
    </row>
    <row r="131" ht="15.75" customHeight="1">
      <c r="A131" s="13">
        <v>45584.0</v>
      </c>
      <c r="B131" s="2" t="s">
        <v>57</v>
      </c>
      <c r="C131" s="2" t="str">
        <f t="shared" si="2"/>
        <v>Guadalajara</v>
      </c>
      <c r="D131" s="19" t="s">
        <v>2340</v>
      </c>
      <c r="E131" s="19" t="s">
        <v>2349</v>
      </c>
      <c r="F131" s="19" t="s">
        <v>2350</v>
      </c>
      <c r="G131" s="20">
        <v>1279.5</v>
      </c>
      <c r="H131" s="5">
        <v>2.0</v>
      </c>
      <c r="I131" s="20">
        <v>2559.0</v>
      </c>
      <c r="J131" s="2" t="s">
        <v>452</v>
      </c>
      <c r="K131" s="2" t="s">
        <v>453</v>
      </c>
      <c r="L131" s="2" t="s">
        <v>454</v>
      </c>
    </row>
    <row r="132" ht="15.75" customHeight="1">
      <c r="A132" s="13">
        <v>45585.0</v>
      </c>
      <c r="B132" s="3" t="s">
        <v>29</v>
      </c>
      <c r="C132" s="2" t="str">
        <f t="shared" si="2"/>
        <v>Ciudad De Mexico</v>
      </c>
      <c r="D132" s="19" t="s">
        <v>2340</v>
      </c>
      <c r="E132" s="19" t="s">
        <v>2341</v>
      </c>
      <c r="F132" s="19" t="s">
        <v>2350</v>
      </c>
      <c r="G132" s="20">
        <v>2299.22</v>
      </c>
      <c r="H132" s="5">
        <v>5.0</v>
      </c>
      <c r="I132" s="20">
        <v>11496.1</v>
      </c>
      <c r="J132" s="2" t="s">
        <v>455</v>
      </c>
      <c r="K132" s="2" t="s">
        <v>456</v>
      </c>
      <c r="L132" s="2" t="s">
        <v>457</v>
      </c>
    </row>
    <row r="133" ht="15.75" customHeight="1">
      <c r="A133" s="13">
        <v>45585.0</v>
      </c>
      <c r="B133" s="3" t="s">
        <v>29</v>
      </c>
      <c r="C133" s="2" t="str">
        <f t="shared" si="2"/>
        <v>Ciudad De Mexico</v>
      </c>
      <c r="D133" s="19" t="s">
        <v>2343</v>
      </c>
      <c r="E133" s="19" t="s">
        <v>2344</v>
      </c>
      <c r="F133" s="19" t="s">
        <v>2342</v>
      </c>
      <c r="G133" s="20">
        <v>1077.13</v>
      </c>
      <c r="H133" s="5">
        <v>5.0</v>
      </c>
      <c r="I133" s="20">
        <v>5385.65</v>
      </c>
      <c r="J133" s="2" t="s">
        <v>458</v>
      </c>
      <c r="K133" s="2" t="s">
        <v>459</v>
      </c>
      <c r="L133" s="2" t="s">
        <v>460</v>
      </c>
    </row>
    <row r="134" ht="15.75" customHeight="1">
      <c r="A134" s="13">
        <v>45585.0</v>
      </c>
      <c r="B134" s="3" t="s">
        <v>29</v>
      </c>
      <c r="C134" s="2" t="str">
        <f t="shared" si="2"/>
        <v>Ciudad De Mexico</v>
      </c>
      <c r="D134" s="19" t="s">
        <v>2340</v>
      </c>
      <c r="E134" s="19" t="s">
        <v>2341</v>
      </c>
      <c r="F134" s="19" t="s">
        <v>2342</v>
      </c>
      <c r="G134" s="20">
        <v>1956.0</v>
      </c>
      <c r="H134" s="5">
        <v>5.0</v>
      </c>
      <c r="I134" s="20">
        <v>9780.0</v>
      </c>
      <c r="J134" s="2" t="s">
        <v>461</v>
      </c>
      <c r="K134" s="2" t="s">
        <v>462</v>
      </c>
      <c r="L134" s="2" t="s">
        <v>463</v>
      </c>
    </row>
    <row r="135" ht="15.75" customHeight="1">
      <c r="A135" s="13">
        <v>45585.0</v>
      </c>
      <c r="B135" s="3" t="s">
        <v>74</v>
      </c>
      <c r="C135" s="2" t="str">
        <f t="shared" si="2"/>
        <v>Cali</v>
      </c>
      <c r="D135" s="19" t="s">
        <v>2340</v>
      </c>
      <c r="E135" s="19" t="s">
        <v>2349</v>
      </c>
      <c r="F135" s="19" t="s">
        <v>2342</v>
      </c>
      <c r="G135" s="20">
        <v>2224.57</v>
      </c>
      <c r="H135" s="5">
        <v>5.0</v>
      </c>
      <c r="I135" s="20">
        <v>11122.85</v>
      </c>
      <c r="J135" s="2" t="s">
        <v>464</v>
      </c>
      <c r="K135" s="2" t="s">
        <v>465</v>
      </c>
      <c r="L135" s="7" t="s">
        <v>466</v>
      </c>
    </row>
    <row r="136" ht="15.75" customHeight="1">
      <c r="A136" s="13">
        <v>45585.0</v>
      </c>
      <c r="B136" s="3" t="s">
        <v>87</v>
      </c>
      <c r="C136" s="2" t="str">
        <f t="shared" si="2"/>
        <v>Tulum</v>
      </c>
      <c r="D136" s="19" t="s">
        <v>2351</v>
      </c>
      <c r="E136" s="19" t="s">
        <v>2354</v>
      </c>
      <c r="F136" s="19" t="s">
        <v>2342</v>
      </c>
      <c r="G136" s="20">
        <v>1840.11</v>
      </c>
      <c r="H136" s="5">
        <v>1.0</v>
      </c>
      <c r="I136" s="20">
        <v>1840.11</v>
      </c>
      <c r="J136" s="2" t="s">
        <v>467</v>
      </c>
      <c r="K136" s="2" t="s">
        <v>468</v>
      </c>
      <c r="L136" s="2" t="s">
        <v>469</v>
      </c>
    </row>
    <row r="137" ht="15.75" customHeight="1">
      <c r="A137" s="13">
        <v>45585.0</v>
      </c>
      <c r="B137" s="3" t="s">
        <v>29</v>
      </c>
      <c r="C137" s="2" t="str">
        <f t="shared" si="2"/>
        <v>Ciudad De Mexico</v>
      </c>
      <c r="D137" s="19" t="s">
        <v>2351</v>
      </c>
      <c r="E137" s="19" t="s">
        <v>2354</v>
      </c>
      <c r="F137" s="19" t="s">
        <v>2345</v>
      </c>
      <c r="G137" s="20">
        <v>2081.9</v>
      </c>
      <c r="H137" s="5">
        <v>1.0</v>
      </c>
      <c r="I137" s="20">
        <v>2081.9</v>
      </c>
      <c r="J137" s="2" t="s">
        <v>470</v>
      </c>
      <c r="K137" s="2" t="s">
        <v>471</v>
      </c>
      <c r="L137" s="2" t="s">
        <v>472</v>
      </c>
    </row>
    <row r="138" ht="15.75" customHeight="1">
      <c r="A138" s="13">
        <v>45585.0</v>
      </c>
      <c r="B138" s="2" t="s">
        <v>57</v>
      </c>
      <c r="C138" s="2" t="str">
        <f t="shared" si="2"/>
        <v>Guadalajara</v>
      </c>
      <c r="D138" s="19" t="s">
        <v>2343</v>
      </c>
      <c r="E138" s="19" t="s">
        <v>2344</v>
      </c>
      <c r="F138" s="19" t="s">
        <v>2346</v>
      </c>
      <c r="G138" s="20">
        <v>320.64</v>
      </c>
      <c r="H138" s="5">
        <v>5.0</v>
      </c>
      <c r="I138" s="20">
        <v>1603.2</v>
      </c>
      <c r="J138" s="2" t="s">
        <v>473</v>
      </c>
      <c r="K138" s="2" t="s">
        <v>474</v>
      </c>
      <c r="L138" s="2" t="s">
        <v>475</v>
      </c>
    </row>
    <row r="139" ht="15.75" customHeight="1">
      <c r="A139" s="13">
        <v>45585.0</v>
      </c>
      <c r="B139" s="2" t="s">
        <v>57</v>
      </c>
      <c r="C139" s="2" t="str">
        <f t="shared" si="2"/>
        <v>Guadalajara</v>
      </c>
      <c r="D139" s="19" t="s">
        <v>2351</v>
      </c>
      <c r="E139" s="19" t="s">
        <v>2352</v>
      </c>
      <c r="F139" s="19" t="s">
        <v>2346</v>
      </c>
      <c r="G139" s="20">
        <v>318.76</v>
      </c>
      <c r="H139" s="5">
        <v>3.0</v>
      </c>
      <c r="I139" s="20">
        <v>956.28</v>
      </c>
      <c r="J139" s="2" t="s">
        <v>476</v>
      </c>
      <c r="K139" s="2" t="s">
        <v>477</v>
      </c>
      <c r="L139" s="7" t="s">
        <v>478</v>
      </c>
    </row>
    <row r="140" ht="15.75" customHeight="1">
      <c r="A140" s="13">
        <v>45585.0</v>
      </c>
      <c r="B140" s="3" t="s">
        <v>29</v>
      </c>
      <c r="C140" s="2" t="str">
        <f t="shared" si="2"/>
        <v>Ciudad De Mexico</v>
      </c>
      <c r="D140" s="19" t="s">
        <v>2343</v>
      </c>
      <c r="E140" s="19" t="s">
        <v>2344</v>
      </c>
      <c r="F140" s="19" t="s">
        <v>2346</v>
      </c>
      <c r="G140" s="20">
        <v>474.59</v>
      </c>
      <c r="H140" s="5">
        <v>4.0</v>
      </c>
      <c r="I140" s="20">
        <v>1898.36</v>
      </c>
      <c r="J140" s="2" t="s">
        <v>479</v>
      </c>
      <c r="K140" s="2" t="s">
        <v>480</v>
      </c>
      <c r="L140" s="2" t="s">
        <v>481</v>
      </c>
    </row>
    <row r="141" ht="15.75" customHeight="1">
      <c r="A141" s="13">
        <v>45585.0</v>
      </c>
      <c r="B141" s="3" t="s">
        <v>74</v>
      </c>
      <c r="C141" s="2" t="str">
        <f t="shared" si="2"/>
        <v>Cali</v>
      </c>
      <c r="D141" s="19" t="s">
        <v>2343</v>
      </c>
      <c r="E141" s="19" t="s">
        <v>2353</v>
      </c>
      <c r="F141" s="19" t="s">
        <v>2346</v>
      </c>
      <c r="G141" s="20">
        <v>2430.43</v>
      </c>
      <c r="H141" s="5">
        <v>5.0</v>
      </c>
      <c r="I141" s="20">
        <v>12152.15</v>
      </c>
      <c r="J141" s="2" t="s">
        <v>482</v>
      </c>
      <c r="K141" s="2" t="s">
        <v>483</v>
      </c>
      <c r="L141" s="2" t="s">
        <v>484</v>
      </c>
    </row>
    <row r="142" ht="15.75" customHeight="1">
      <c r="A142" s="13">
        <v>45585.0</v>
      </c>
      <c r="B142" s="2" t="s">
        <v>34</v>
      </c>
      <c r="C142" s="2" t="str">
        <f t="shared" si="2"/>
        <v>Medellín</v>
      </c>
      <c r="D142" s="19" t="s">
        <v>2343</v>
      </c>
      <c r="E142" s="19" t="s">
        <v>2360</v>
      </c>
      <c r="F142" s="19" t="s">
        <v>2342</v>
      </c>
      <c r="G142" s="20">
        <v>270.83</v>
      </c>
      <c r="H142" s="5">
        <v>3.0</v>
      </c>
      <c r="I142" s="20">
        <v>812.49</v>
      </c>
      <c r="J142" s="2" t="s">
        <v>485</v>
      </c>
      <c r="K142" s="2" t="s">
        <v>486</v>
      </c>
      <c r="L142" s="2" t="s">
        <v>487</v>
      </c>
    </row>
    <row r="143" ht="15.75" customHeight="1">
      <c r="A143" s="13">
        <v>45586.0</v>
      </c>
      <c r="B143" s="3" t="s">
        <v>9</v>
      </c>
      <c r="C143" s="2" t="str">
        <f t="shared" si="2"/>
        <v>Monterrey</v>
      </c>
      <c r="D143" s="19" t="s">
        <v>2347</v>
      </c>
      <c r="E143" s="19" t="s">
        <v>2358</v>
      </c>
      <c r="F143" s="19" t="s">
        <v>2346</v>
      </c>
      <c r="G143" s="20">
        <v>121.68</v>
      </c>
      <c r="H143" s="5">
        <v>2.0</v>
      </c>
      <c r="I143" s="20">
        <v>243.36</v>
      </c>
      <c r="J143" s="2" t="s">
        <v>488</v>
      </c>
      <c r="K143" s="2" t="s">
        <v>489</v>
      </c>
      <c r="L143" s="2" t="s">
        <v>490</v>
      </c>
    </row>
    <row r="144" ht="15.75" customHeight="1">
      <c r="A144" s="13">
        <v>45586.0</v>
      </c>
      <c r="B144" s="3" t="s">
        <v>74</v>
      </c>
      <c r="C144" s="2" t="str">
        <f t="shared" si="2"/>
        <v>Cali</v>
      </c>
      <c r="D144" s="19" t="s">
        <v>2340</v>
      </c>
      <c r="E144" s="19" t="s">
        <v>2355</v>
      </c>
      <c r="F144" s="19" t="s">
        <v>2342</v>
      </c>
      <c r="G144" s="20">
        <v>392.86</v>
      </c>
      <c r="H144" s="5">
        <v>2.0</v>
      </c>
      <c r="I144" s="20">
        <v>785.72</v>
      </c>
      <c r="J144" s="2" t="s">
        <v>491</v>
      </c>
      <c r="K144" s="2" t="s">
        <v>492</v>
      </c>
      <c r="L144" s="2" t="s">
        <v>493</v>
      </c>
    </row>
    <row r="145" ht="15.75" customHeight="1">
      <c r="A145" s="13">
        <v>45586.0</v>
      </c>
      <c r="B145" s="3" t="s">
        <v>87</v>
      </c>
      <c r="C145" s="2" t="str">
        <f t="shared" si="2"/>
        <v>Tulum</v>
      </c>
      <c r="D145" s="19" t="s">
        <v>2351</v>
      </c>
      <c r="E145" s="19" t="s">
        <v>2354</v>
      </c>
      <c r="F145" s="19" t="s">
        <v>2342</v>
      </c>
      <c r="G145" s="20">
        <v>1807.14</v>
      </c>
      <c r="H145" s="5">
        <v>5.0</v>
      </c>
      <c r="I145" s="20">
        <v>9035.7</v>
      </c>
      <c r="J145" s="2" t="s">
        <v>494</v>
      </c>
      <c r="K145" s="2" t="s">
        <v>495</v>
      </c>
      <c r="L145" s="2" t="s">
        <v>496</v>
      </c>
    </row>
    <row r="146" ht="15.75" customHeight="1">
      <c r="A146" s="13">
        <v>45586.0</v>
      </c>
      <c r="B146" s="2" t="s">
        <v>57</v>
      </c>
      <c r="C146" s="2" t="str">
        <f t="shared" si="2"/>
        <v>Guadalajara</v>
      </c>
      <c r="D146" s="19" t="s">
        <v>2351</v>
      </c>
      <c r="E146" s="19" t="s">
        <v>2357</v>
      </c>
      <c r="F146" s="19" t="s">
        <v>2342</v>
      </c>
      <c r="G146" s="20">
        <v>1604.02</v>
      </c>
      <c r="H146" s="5">
        <v>5.0</v>
      </c>
      <c r="I146" s="20">
        <v>8020.1</v>
      </c>
      <c r="J146" s="2" t="s">
        <v>497</v>
      </c>
      <c r="K146" s="2" t="s">
        <v>498</v>
      </c>
      <c r="L146" s="2" t="s">
        <v>499</v>
      </c>
    </row>
    <row r="147" ht="15.75" customHeight="1">
      <c r="A147" s="13">
        <v>45586.0</v>
      </c>
      <c r="B147" s="2" t="s">
        <v>34</v>
      </c>
      <c r="C147" s="2" t="str">
        <f t="shared" si="2"/>
        <v>Medellín</v>
      </c>
      <c r="D147" s="19" t="s">
        <v>2347</v>
      </c>
      <c r="E147" s="19" t="s">
        <v>2358</v>
      </c>
      <c r="F147" s="19" t="s">
        <v>2345</v>
      </c>
      <c r="G147" s="20">
        <v>72.75</v>
      </c>
      <c r="H147" s="5">
        <v>3.0</v>
      </c>
      <c r="I147" s="20">
        <v>218.25</v>
      </c>
      <c r="J147" s="2" t="s">
        <v>500</v>
      </c>
      <c r="K147" s="2" t="s">
        <v>501</v>
      </c>
      <c r="L147" s="2" t="s">
        <v>502</v>
      </c>
    </row>
    <row r="148" ht="15.75" customHeight="1">
      <c r="A148" s="13">
        <v>45587.0</v>
      </c>
      <c r="B148" s="3" t="s">
        <v>29</v>
      </c>
      <c r="C148" s="2" t="str">
        <f t="shared" si="2"/>
        <v>Ciudad De Mexico</v>
      </c>
      <c r="D148" s="19" t="s">
        <v>2351</v>
      </c>
      <c r="E148" s="19" t="s">
        <v>2352</v>
      </c>
      <c r="F148" s="19" t="s">
        <v>2342</v>
      </c>
      <c r="G148" s="20">
        <v>1524.07</v>
      </c>
      <c r="H148" s="5">
        <v>1.0</v>
      </c>
      <c r="I148" s="20">
        <v>1524.07</v>
      </c>
      <c r="J148" s="2" t="s">
        <v>504</v>
      </c>
      <c r="K148" s="2" t="s">
        <v>505</v>
      </c>
      <c r="L148" s="2" t="s">
        <v>506</v>
      </c>
    </row>
    <row r="149" ht="15.75" customHeight="1">
      <c r="A149" s="13">
        <v>45587.0</v>
      </c>
      <c r="B149" s="3" t="s">
        <v>74</v>
      </c>
      <c r="C149" s="2" t="str">
        <f t="shared" si="2"/>
        <v>Cali</v>
      </c>
      <c r="D149" s="19" t="s">
        <v>2351</v>
      </c>
      <c r="E149" s="19" t="s">
        <v>2352</v>
      </c>
      <c r="F149" s="19" t="s">
        <v>2346</v>
      </c>
      <c r="G149" s="20">
        <v>2392.65</v>
      </c>
      <c r="H149" s="5">
        <v>4.0</v>
      </c>
      <c r="I149" s="20">
        <v>9570.6</v>
      </c>
      <c r="J149" s="2" t="s">
        <v>507</v>
      </c>
      <c r="K149" s="2" t="s">
        <v>508</v>
      </c>
      <c r="L149" s="2" t="s">
        <v>509</v>
      </c>
    </row>
    <row r="150" ht="15.75" customHeight="1">
      <c r="A150" s="13">
        <v>45587.0</v>
      </c>
      <c r="B150" s="3" t="s">
        <v>29</v>
      </c>
      <c r="C150" s="2" t="str">
        <f t="shared" si="2"/>
        <v>Ciudad De Mexico</v>
      </c>
      <c r="D150" s="19" t="s">
        <v>2347</v>
      </c>
      <c r="E150" s="19" t="s">
        <v>2358</v>
      </c>
      <c r="F150" s="19" t="s">
        <v>2345</v>
      </c>
      <c r="G150" s="20">
        <v>1988.0</v>
      </c>
      <c r="H150" s="5">
        <v>2.0</v>
      </c>
      <c r="I150" s="20">
        <v>3976.0</v>
      </c>
      <c r="J150" s="2" t="s">
        <v>510</v>
      </c>
      <c r="K150" s="2" t="s">
        <v>511</v>
      </c>
      <c r="L150" s="2" t="s">
        <v>512</v>
      </c>
    </row>
    <row r="151" ht="15.75" customHeight="1">
      <c r="A151" s="13">
        <v>45587.0</v>
      </c>
      <c r="B151" s="2" t="s">
        <v>57</v>
      </c>
      <c r="C151" s="2" t="str">
        <f t="shared" si="2"/>
        <v>Guadalajara</v>
      </c>
      <c r="D151" s="19" t="s">
        <v>2351</v>
      </c>
      <c r="E151" s="19" t="s">
        <v>2352</v>
      </c>
      <c r="F151" s="19" t="s">
        <v>2350</v>
      </c>
      <c r="G151" s="20">
        <v>1703.47</v>
      </c>
      <c r="H151" s="5">
        <v>2.0</v>
      </c>
      <c r="I151" s="20">
        <v>3406.94</v>
      </c>
      <c r="J151" s="2" t="s">
        <v>513</v>
      </c>
      <c r="K151" s="2" t="s">
        <v>514</v>
      </c>
      <c r="L151" s="2" t="s">
        <v>515</v>
      </c>
    </row>
    <row r="152" ht="15.75" customHeight="1">
      <c r="A152" s="13">
        <v>45587.0</v>
      </c>
      <c r="B152" s="2" t="s">
        <v>57</v>
      </c>
      <c r="C152" s="2" t="str">
        <f t="shared" si="2"/>
        <v>Guadalajara</v>
      </c>
      <c r="D152" s="19" t="s">
        <v>2340</v>
      </c>
      <c r="E152" s="19" t="s">
        <v>2349</v>
      </c>
      <c r="F152" s="19" t="s">
        <v>2350</v>
      </c>
      <c r="G152" s="20">
        <v>205.25</v>
      </c>
      <c r="H152" s="5">
        <v>3.0</v>
      </c>
      <c r="I152" s="20">
        <v>615.75</v>
      </c>
      <c r="J152" s="2" t="s">
        <v>516</v>
      </c>
      <c r="K152" s="2" t="s">
        <v>517</v>
      </c>
      <c r="L152" s="2" t="s">
        <v>518</v>
      </c>
    </row>
    <row r="153" ht="15.75" customHeight="1">
      <c r="A153" s="13">
        <v>45587.0</v>
      </c>
      <c r="B153" s="3" t="s">
        <v>74</v>
      </c>
      <c r="C153" s="2" t="str">
        <f t="shared" si="2"/>
        <v>Cali</v>
      </c>
      <c r="D153" s="19" t="s">
        <v>2343</v>
      </c>
      <c r="E153" s="19" t="s">
        <v>2353</v>
      </c>
      <c r="F153" s="19" t="s">
        <v>2342</v>
      </c>
      <c r="G153" s="20">
        <v>1882.22</v>
      </c>
      <c r="H153" s="5">
        <v>3.0</v>
      </c>
      <c r="I153" s="20">
        <v>5646.66</v>
      </c>
      <c r="J153" s="2" t="s">
        <v>519</v>
      </c>
      <c r="K153" s="2" t="s">
        <v>520</v>
      </c>
      <c r="L153" s="2" t="s">
        <v>521</v>
      </c>
    </row>
    <row r="154" ht="15.75" customHeight="1">
      <c r="A154" s="13">
        <v>45587.0</v>
      </c>
      <c r="B154" s="3" t="s">
        <v>14</v>
      </c>
      <c r="C154" s="2" t="str">
        <f t="shared" si="2"/>
        <v>Bogotá</v>
      </c>
      <c r="D154" s="19" t="s">
        <v>2351</v>
      </c>
      <c r="E154" s="19" t="s">
        <v>2352</v>
      </c>
      <c r="F154" s="19" t="s">
        <v>2350</v>
      </c>
      <c r="G154" s="20">
        <v>419.18</v>
      </c>
      <c r="H154" s="5">
        <v>4.0</v>
      </c>
      <c r="I154" s="20">
        <v>1676.72</v>
      </c>
      <c r="J154" s="2" t="s">
        <v>522</v>
      </c>
      <c r="K154" s="2" t="s">
        <v>523</v>
      </c>
      <c r="L154" s="2" t="s">
        <v>524</v>
      </c>
    </row>
    <row r="155" ht="15.75" customHeight="1">
      <c r="A155" s="13">
        <v>45587.0</v>
      </c>
      <c r="B155" s="2" t="s">
        <v>34</v>
      </c>
      <c r="C155" s="2" t="str">
        <f t="shared" si="2"/>
        <v>Medellín</v>
      </c>
      <c r="D155" s="19" t="s">
        <v>2343</v>
      </c>
      <c r="E155" s="19" t="s">
        <v>2360</v>
      </c>
      <c r="F155" s="19" t="s">
        <v>2342</v>
      </c>
      <c r="G155" s="20">
        <v>1511.08</v>
      </c>
      <c r="H155" s="5">
        <v>2.0</v>
      </c>
      <c r="I155" s="20">
        <v>3022.16</v>
      </c>
      <c r="J155" s="2" t="s">
        <v>525</v>
      </c>
      <c r="K155" s="2" t="s">
        <v>526</v>
      </c>
      <c r="L155" s="2" t="s">
        <v>527</v>
      </c>
    </row>
    <row r="156" ht="15.75" customHeight="1">
      <c r="A156" s="13">
        <v>45587.0</v>
      </c>
      <c r="B156" s="3" t="s">
        <v>9</v>
      </c>
      <c r="C156" s="2" t="str">
        <f t="shared" si="2"/>
        <v>Monterrey</v>
      </c>
      <c r="D156" s="19" t="s">
        <v>2347</v>
      </c>
      <c r="E156" s="19" t="s">
        <v>2348</v>
      </c>
      <c r="F156" s="19" t="s">
        <v>2346</v>
      </c>
      <c r="G156" s="20">
        <v>1736.9</v>
      </c>
      <c r="H156" s="5">
        <v>5.0</v>
      </c>
      <c r="I156" s="20">
        <v>8684.5</v>
      </c>
      <c r="J156" s="2" t="s">
        <v>528</v>
      </c>
      <c r="K156" s="2" t="s">
        <v>529</v>
      </c>
      <c r="L156" s="2" t="s">
        <v>530</v>
      </c>
    </row>
    <row r="157" ht="15.75" customHeight="1">
      <c r="A157" s="13">
        <v>45587.0</v>
      </c>
      <c r="B157" s="3" t="s">
        <v>14</v>
      </c>
      <c r="C157" s="2" t="str">
        <f t="shared" si="2"/>
        <v>Bogotá</v>
      </c>
      <c r="D157" s="19" t="s">
        <v>2351</v>
      </c>
      <c r="E157" s="19" t="s">
        <v>2352</v>
      </c>
      <c r="F157" s="19" t="s">
        <v>2345</v>
      </c>
      <c r="G157" s="20">
        <v>2063.13</v>
      </c>
      <c r="H157" s="5">
        <v>4.0</v>
      </c>
      <c r="I157" s="20">
        <v>8252.52</v>
      </c>
      <c r="J157" s="2" t="s">
        <v>531</v>
      </c>
      <c r="K157" s="2" t="s">
        <v>532</v>
      </c>
      <c r="L157" s="2" t="s">
        <v>533</v>
      </c>
    </row>
    <row r="158" ht="15.75" customHeight="1">
      <c r="A158" s="13">
        <v>45587.0</v>
      </c>
      <c r="B158" s="3" t="s">
        <v>29</v>
      </c>
      <c r="C158" s="2" t="str">
        <f t="shared" si="2"/>
        <v>Ciudad De Mexico</v>
      </c>
      <c r="D158" s="19" t="s">
        <v>2351</v>
      </c>
      <c r="E158" s="19" t="s">
        <v>2352</v>
      </c>
      <c r="F158" s="19" t="s">
        <v>2350</v>
      </c>
      <c r="G158" s="20">
        <v>2240.54</v>
      </c>
      <c r="H158" s="5">
        <v>2.0</v>
      </c>
      <c r="I158" s="20">
        <v>4481.08</v>
      </c>
      <c r="J158" s="2" t="s">
        <v>534</v>
      </c>
      <c r="K158" s="2" t="s">
        <v>535</v>
      </c>
      <c r="L158" s="2" t="s">
        <v>536</v>
      </c>
    </row>
    <row r="159" ht="15.75" customHeight="1">
      <c r="A159" s="13">
        <v>45588.0</v>
      </c>
      <c r="B159" s="3" t="s">
        <v>9</v>
      </c>
      <c r="C159" s="2" t="str">
        <f t="shared" si="2"/>
        <v>Monterrey</v>
      </c>
      <c r="D159" s="19" t="s">
        <v>2340</v>
      </c>
      <c r="E159" s="19" t="s">
        <v>2349</v>
      </c>
      <c r="F159" s="19" t="s">
        <v>2342</v>
      </c>
      <c r="G159" s="20">
        <v>1242.34</v>
      </c>
      <c r="H159" s="5">
        <v>5.0</v>
      </c>
      <c r="I159" s="20">
        <v>6211.7</v>
      </c>
      <c r="J159" s="2" t="s">
        <v>537</v>
      </c>
      <c r="K159" s="2" t="s">
        <v>538</v>
      </c>
      <c r="L159" s="2" t="s">
        <v>539</v>
      </c>
    </row>
    <row r="160" ht="15.75" customHeight="1">
      <c r="A160" s="13">
        <v>45588.0</v>
      </c>
      <c r="B160" s="2" t="s">
        <v>57</v>
      </c>
      <c r="C160" s="2" t="str">
        <f t="shared" si="2"/>
        <v>Guadalajara</v>
      </c>
      <c r="D160" s="19" t="s">
        <v>2351</v>
      </c>
      <c r="E160" s="19" t="s">
        <v>2357</v>
      </c>
      <c r="F160" s="19" t="s">
        <v>2350</v>
      </c>
      <c r="G160" s="20">
        <v>1657.62</v>
      </c>
      <c r="H160" s="5">
        <v>4.0</v>
      </c>
      <c r="I160" s="20">
        <v>6630.48</v>
      </c>
      <c r="J160" s="2" t="s">
        <v>540</v>
      </c>
      <c r="K160" s="2" t="s">
        <v>541</v>
      </c>
      <c r="L160" s="2" t="s">
        <v>542</v>
      </c>
    </row>
    <row r="161" ht="15.75" customHeight="1">
      <c r="A161" s="13">
        <v>45588.0</v>
      </c>
      <c r="B161" s="2" t="s">
        <v>34</v>
      </c>
      <c r="C161" s="2" t="str">
        <f t="shared" si="2"/>
        <v>Medellín</v>
      </c>
      <c r="D161" s="19" t="s">
        <v>2343</v>
      </c>
      <c r="E161" s="19" t="s">
        <v>2344</v>
      </c>
      <c r="F161" s="19" t="s">
        <v>2345</v>
      </c>
      <c r="G161" s="20">
        <v>499.22</v>
      </c>
      <c r="H161" s="5">
        <v>3.0</v>
      </c>
      <c r="I161" s="20">
        <v>1497.66</v>
      </c>
      <c r="J161" s="2" t="s">
        <v>543</v>
      </c>
      <c r="K161" s="2" t="s">
        <v>544</v>
      </c>
      <c r="L161" s="2" t="s">
        <v>545</v>
      </c>
    </row>
    <row r="162" ht="15.75" customHeight="1">
      <c r="A162" s="13">
        <v>45588.0</v>
      </c>
      <c r="B162" s="2" t="s">
        <v>57</v>
      </c>
      <c r="C162" s="2" t="str">
        <f t="shared" si="2"/>
        <v>Guadalajara</v>
      </c>
      <c r="D162" s="19" t="s">
        <v>2340</v>
      </c>
      <c r="E162" s="19" t="s">
        <v>2349</v>
      </c>
      <c r="F162" s="19" t="s">
        <v>2346</v>
      </c>
      <c r="G162" s="20">
        <v>348.21</v>
      </c>
      <c r="H162" s="5">
        <v>5.0</v>
      </c>
      <c r="I162" s="20">
        <v>1741.05</v>
      </c>
      <c r="J162" s="2" t="s">
        <v>546</v>
      </c>
      <c r="K162" s="2" t="s">
        <v>547</v>
      </c>
      <c r="L162" s="2" t="s">
        <v>548</v>
      </c>
    </row>
    <row r="163" ht="15.75" customHeight="1">
      <c r="A163" s="13">
        <v>45588.0</v>
      </c>
      <c r="B163" s="3" t="s">
        <v>29</v>
      </c>
      <c r="C163" s="2" t="str">
        <f t="shared" si="2"/>
        <v>Ciudad De Mexico</v>
      </c>
      <c r="D163" s="19" t="s">
        <v>2351</v>
      </c>
      <c r="E163" s="19" t="s">
        <v>2352</v>
      </c>
      <c r="F163" s="19" t="s">
        <v>2346</v>
      </c>
      <c r="G163" s="20">
        <v>324.46</v>
      </c>
      <c r="H163" s="5">
        <v>2.0</v>
      </c>
      <c r="I163" s="20">
        <v>648.92</v>
      </c>
      <c r="J163" s="2" t="s">
        <v>549</v>
      </c>
      <c r="K163" s="2" t="s">
        <v>550</v>
      </c>
      <c r="L163" s="2" t="s">
        <v>551</v>
      </c>
    </row>
    <row r="164" ht="15.75" customHeight="1">
      <c r="A164" s="13">
        <v>45588.0</v>
      </c>
      <c r="B164" s="3" t="s">
        <v>74</v>
      </c>
      <c r="C164" s="2" t="str">
        <f t="shared" si="2"/>
        <v>Cali</v>
      </c>
      <c r="D164" s="19" t="s">
        <v>2351</v>
      </c>
      <c r="E164" s="19" t="s">
        <v>2352</v>
      </c>
      <c r="F164" s="19" t="s">
        <v>2342</v>
      </c>
      <c r="G164" s="20">
        <v>796.3</v>
      </c>
      <c r="H164" s="5">
        <v>4.0</v>
      </c>
      <c r="I164" s="20">
        <v>3185.2</v>
      </c>
      <c r="J164" s="2" t="s">
        <v>552</v>
      </c>
      <c r="K164" s="2" t="s">
        <v>553</v>
      </c>
      <c r="L164" s="2" t="s">
        <v>554</v>
      </c>
    </row>
    <row r="165" ht="15.75" customHeight="1">
      <c r="A165" s="13">
        <v>45588.0</v>
      </c>
      <c r="B165" s="3" t="s">
        <v>9</v>
      </c>
      <c r="C165" s="2" t="str">
        <f t="shared" si="2"/>
        <v>Monterrey</v>
      </c>
      <c r="D165" s="19" t="s">
        <v>2351</v>
      </c>
      <c r="E165" s="19" t="s">
        <v>2354</v>
      </c>
      <c r="F165" s="19" t="s">
        <v>2346</v>
      </c>
      <c r="G165" s="20">
        <v>1327.27</v>
      </c>
      <c r="H165" s="5">
        <v>2.0</v>
      </c>
      <c r="I165" s="20">
        <v>2654.54</v>
      </c>
      <c r="J165" s="2" t="s">
        <v>555</v>
      </c>
      <c r="K165" s="2" t="s">
        <v>556</v>
      </c>
      <c r="L165" s="7" t="s">
        <v>557</v>
      </c>
    </row>
    <row r="166" ht="15.75" customHeight="1">
      <c r="A166" s="13">
        <v>45588.0</v>
      </c>
      <c r="B166" s="2" t="s">
        <v>34</v>
      </c>
      <c r="C166" s="2" t="str">
        <f t="shared" si="2"/>
        <v>Medellín</v>
      </c>
      <c r="D166" s="19" t="s">
        <v>2347</v>
      </c>
      <c r="E166" s="19" t="s">
        <v>2358</v>
      </c>
      <c r="F166" s="19" t="s">
        <v>2350</v>
      </c>
      <c r="G166" s="20">
        <v>2384.86</v>
      </c>
      <c r="H166" s="5">
        <v>4.0</v>
      </c>
      <c r="I166" s="20">
        <v>9539.44</v>
      </c>
      <c r="J166" s="2" t="s">
        <v>558</v>
      </c>
      <c r="K166" s="2" t="s">
        <v>559</v>
      </c>
      <c r="L166" s="2" t="s">
        <v>560</v>
      </c>
    </row>
    <row r="167" ht="15.75" customHeight="1">
      <c r="A167" s="13">
        <v>45588.0</v>
      </c>
      <c r="B167" s="2" t="s">
        <v>34</v>
      </c>
      <c r="C167" s="2" t="str">
        <f t="shared" si="2"/>
        <v>Medellín</v>
      </c>
      <c r="D167" s="19" t="s">
        <v>2351</v>
      </c>
      <c r="E167" s="19" t="s">
        <v>2357</v>
      </c>
      <c r="F167" s="19" t="s">
        <v>2345</v>
      </c>
      <c r="G167" s="20">
        <v>379.64</v>
      </c>
      <c r="H167" s="5">
        <v>3.0</v>
      </c>
      <c r="I167" s="20">
        <v>1138.92</v>
      </c>
      <c r="J167" s="2" t="s">
        <v>561</v>
      </c>
      <c r="K167" s="2" t="s">
        <v>562</v>
      </c>
      <c r="L167" s="2" t="s">
        <v>563</v>
      </c>
    </row>
    <row r="168" ht="15.75" customHeight="1">
      <c r="A168" s="13">
        <v>45588.0</v>
      </c>
      <c r="B168" s="2" t="s">
        <v>57</v>
      </c>
      <c r="C168" s="2" t="str">
        <f t="shared" si="2"/>
        <v>Guadalajara</v>
      </c>
      <c r="D168" s="19" t="s">
        <v>2347</v>
      </c>
      <c r="E168" s="19" t="s">
        <v>2348</v>
      </c>
      <c r="F168" s="19" t="s">
        <v>2345</v>
      </c>
      <c r="G168" s="20">
        <v>1582.73</v>
      </c>
      <c r="H168" s="5">
        <v>2.0</v>
      </c>
      <c r="I168" s="20">
        <v>3165.46</v>
      </c>
      <c r="J168" s="2" t="s">
        <v>564</v>
      </c>
      <c r="K168" s="2" t="s">
        <v>565</v>
      </c>
      <c r="L168" s="2" t="s">
        <v>566</v>
      </c>
    </row>
    <row r="169" ht="15.75" customHeight="1">
      <c r="A169" s="13">
        <v>45588.0</v>
      </c>
      <c r="B169" s="3" t="s">
        <v>74</v>
      </c>
      <c r="C169" s="2" t="str">
        <f t="shared" si="2"/>
        <v>Cali</v>
      </c>
      <c r="D169" s="19" t="s">
        <v>2340</v>
      </c>
      <c r="E169" s="19" t="s">
        <v>2355</v>
      </c>
      <c r="F169" s="19" t="s">
        <v>2342</v>
      </c>
      <c r="G169" s="20">
        <v>1362.97</v>
      </c>
      <c r="H169" s="5">
        <v>1.0</v>
      </c>
      <c r="I169" s="20">
        <v>1362.97</v>
      </c>
      <c r="J169" s="2" t="s">
        <v>567</v>
      </c>
      <c r="K169" s="2" t="s">
        <v>568</v>
      </c>
      <c r="L169" s="2" t="s">
        <v>569</v>
      </c>
    </row>
    <row r="170" ht="15.75" customHeight="1">
      <c r="A170" s="13">
        <v>45588.0</v>
      </c>
      <c r="B170" s="3" t="s">
        <v>14</v>
      </c>
      <c r="C170" s="2" t="str">
        <f t="shared" si="2"/>
        <v>Bogotá</v>
      </c>
      <c r="D170" s="19" t="s">
        <v>2340</v>
      </c>
      <c r="E170" s="19" t="s">
        <v>2355</v>
      </c>
      <c r="F170" s="19" t="s">
        <v>2346</v>
      </c>
      <c r="G170" s="20">
        <v>1817.8</v>
      </c>
      <c r="H170" s="5">
        <v>3.0</v>
      </c>
      <c r="I170" s="20">
        <v>5453.4</v>
      </c>
      <c r="J170" s="2" t="s">
        <v>571</v>
      </c>
      <c r="K170" s="2" t="s">
        <v>572</v>
      </c>
      <c r="L170" s="2" t="s">
        <v>573</v>
      </c>
    </row>
    <row r="171" ht="15.75" customHeight="1">
      <c r="A171" s="13">
        <v>45589.0</v>
      </c>
      <c r="B171" s="3" t="s">
        <v>74</v>
      </c>
      <c r="C171" s="2" t="str">
        <f t="shared" si="2"/>
        <v>Cali</v>
      </c>
      <c r="D171" s="19" t="s">
        <v>2343</v>
      </c>
      <c r="E171" s="19" t="s">
        <v>2344</v>
      </c>
      <c r="F171" s="19" t="s">
        <v>2342</v>
      </c>
      <c r="G171" s="20">
        <v>1962.79</v>
      </c>
      <c r="H171" s="5">
        <v>3.0</v>
      </c>
      <c r="I171" s="20">
        <v>5888.37</v>
      </c>
      <c r="J171" s="2" t="s">
        <v>574</v>
      </c>
      <c r="K171" s="2" t="s">
        <v>575</v>
      </c>
      <c r="L171" s="2" t="s">
        <v>576</v>
      </c>
    </row>
    <row r="172" ht="15.75" customHeight="1">
      <c r="A172" s="13">
        <v>45589.0</v>
      </c>
      <c r="B172" s="3" t="s">
        <v>74</v>
      </c>
      <c r="C172" s="2" t="str">
        <f t="shared" si="2"/>
        <v>Cali</v>
      </c>
      <c r="D172" s="19" t="s">
        <v>2340</v>
      </c>
      <c r="E172" s="19" t="s">
        <v>2349</v>
      </c>
      <c r="F172" s="19" t="s">
        <v>2350</v>
      </c>
      <c r="G172" s="20">
        <v>785.65</v>
      </c>
      <c r="H172" s="5">
        <v>1.0</v>
      </c>
      <c r="I172" s="20">
        <v>785.65</v>
      </c>
      <c r="J172" s="2" t="s">
        <v>577</v>
      </c>
      <c r="K172" s="2" t="s">
        <v>578</v>
      </c>
      <c r="L172" s="2" t="s">
        <v>579</v>
      </c>
    </row>
    <row r="173" ht="15.75" customHeight="1">
      <c r="A173" s="13">
        <v>45589.0</v>
      </c>
      <c r="B173" s="2" t="s">
        <v>34</v>
      </c>
      <c r="C173" s="2" t="str">
        <f t="shared" si="2"/>
        <v>Medellín</v>
      </c>
      <c r="D173" s="19" t="s">
        <v>2347</v>
      </c>
      <c r="E173" s="19" t="s">
        <v>2356</v>
      </c>
      <c r="F173" s="19" t="s">
        <v>2346</v>
      </c>
      <c r="G173" s="20">
        <v>747.11</v>
      </c>
      <c r="H173" s="5">
        <v>5.0</v>
      </c>
      <c r="I173" s="20">
        <v>3735.55</v>
      </c>
      <c r="J173" s="2" t="s">
        <v>580</v>
      </c>
      <c r="K173" s="2" t="s">
        <v>581</v>
      </c>
      <c r="L173" s="2" t="s">
        <v>582</v>
      </c>
    </row>
    <row r="174" ht="15.75" customHeight="1">
      <c r="A174" s="13">
        <v>45589.0</v>
      </c>
      <c r="B174" s="3" t="s">
        <v>29</v>
      </c>
      <c r="C174" s="2" t="str">
        <f t="shared" si="2"/>
        <v>Ciudad De Mexico</v>
      </c>
      <c r="D174" s="19" t="s">
        <v>2340</v>
      </c>
      <c r="E174" s="19" t="s">
        <v>2341</v>
      </c>
      <c r="F174" s="19" t="s">
        <v>2342</v>
      </c>
      <c r="G174" s="20">
        <v>1030.99</v>
      </c>
      <c r="H174" s="5">
        <v>1.0</v>
      </c>
      <c r="I174" s="20">
        <v>1030.99</v>
      </c>
      <c r="J174" s="2" t="s">
        <v>583</v>
      </c>
      <c r="K174" s="2" t="s">
        <v>584</v>
      </c>
      <c r="L174" s="2" t="s">
        <v>585</v>
      </c>
    </row>
    <row r="175" ht="15.75" customHeight="1">
      <c r="A175" s="13">
        <v>45589.0</v>
      </c>
      <c r="B175" s="2" t="s">
        <v>57</v>
      </c>
      <c r="C175" s="2" t="str">
        <f t="shared" si="2"/>
        <v>Guadalajara</v>
      </c>
      <c r="D175" s="19" t="s">
        <v>2351</v>
      </c>
      <c r="E175" s="19" t="s">
        <v>2352</v>
      </c>
      <c r="F175" s="19" t="s">
        <v>2342</v>
      </c>
      <c r="G175" s="20">
        <v>486.27</v>
      </c>
      <c r="H175" s="5">
        <v>5.0</v>
      </c>
      <c r="I175" s="20">
        <v>2431.35</v>
      </c>
      <c r="J175" s="3" t="s">
        <v>586</v>
      </c>
      <c r="K175" s="2" t="s">
        <v>587</v>
      </c>
      <c r="L175" s="2" t="s">
        <v>588</v>
      </c>
    </row>
    <row r="176" ht="15.75" customHeight="1">
      <c r="A176" s="13">
        <v>45589.0</v>
      </c>
      <c r="B176" s="3" t="s">
        <v>9</v>
      </c>
      <c r="C176" s="2" t="str">
        <f t="shared" si="2"/>
        <v>Monterrey</v>
      </c>
      <c r="D176" s="19" t="s">
        <v>2343</v>
      </c>
      <c r="E176" s="19" t="s">
        <v>2353</v>
      </c>
      <c r="F176" s="19" t="s">
        <v>2345</v>
      </c>
      <c r="G176" s="20">
        <v>1518.43</v>
      </c>
      <c r="H176" s="5">
        <v>5.0</v>
      </c>
      <c r="I176" s="20">
        <v>7592.15</v>
      </c>
      <c r="J176" s="2" t="s">
        <v>589</v>
      </c>
      <c r="K176" s="2" t="s">
        <v>590</v>
      </c>
      <c r="L176" s="2" t="s">
        <v>591</v>
      </c>
    </row>
    <row r="177" ht="15.75" customHeight="1">
      <c r="A177" s="13">
        <v>45589.0</v>
      </c>
      <c r="B177" s="3" t="s">
        <v>14</v>
      </c>
      <c r="C177" s="2" t="str">
        <f t="shared" si="2"/>
        <v>Bogotá</v>
      </c>
      <c r="D177" s="19" t="s">
        <v>2340</v>
      </c>
      <c r="E177" s="19" t="s">
        <v>2349</v>
      </c>
      <c r="F177" s="19" t="s">
        <v>2342</v>
      </c>
      <c r="G177" s="20">
        <v>2100.84</v>
      </c>
      <c r="H177" s="5">
        <v>5.0</v>
      </c>
      <c r="I177" s="20">
        <v>10504.2</v>
      </c>
      <c r="J177" s="2" t="s">
        <v>592</v>
      </c>
      <c r="K177" s="2" t="s">
        <v>593</v>
      </c>
      <c r="L177" s="2" t="s">
        <v>594</v>
      </c>
    </row>
    <row r="178" ht="15.75" customHeight="1">
      <c r="A178" s="13">
        <v>45589.0</v>
      </c>
      <c r="B178" s="3" t="s">
        <v>74</v>
      </c>
      <c r="C178" s="2" t="str">
        <f t="shared" si="2"/>
        <v>Cali</v>
      </c>
      <c r="D178" s="19" t="s">
        <v>2347</v>
      </c>
      <c r="E178" s="19" t="s">
        <v>2358</v>
      </c>
      <c r="F178" s="19" t="s">
        <v>2345</v>
      </c>
      <c r="G178" s="20">
        <v>1261.22</v>
      </c>
      <c r="H178" s="5">
        <v>2.0</v>
      </c>
      <c r="I178" s="20">
        <v>2522.44</v>
      </c>
      <c r="J178" s="2" t="s">
        <v>595</v>
      </c>
      <c r="K178" s="2" t="s">
        <v>596</v>
      </c>
      <c r="L178" s="2" t="s">
        <v>597</v>
      </c>
    </row>
    <row r="179" ht="15.75" customHeight="1">
      <c r="A179" s="13">
        <v>45589.0</v>
      </c>
      <c r="B179" s="3" t="s">
        <v>74</v>
      </c>
      <c r="C179" s="2" t="str">
        <f t="shared" si="2"/>
        <v>Cali</v>
      </c>
      <c r="D179" s="19" t="s">
        <v>2343</v>
      </c>
      <c r="E179" s="19" t="s">
        <v>2344</v>
      </c>
      <c r="F179" s="19" t="s">
        <v>2345</v>
      </c>
      <c r="G179" s="20">
        <v>2418.11</v>
      </c>
      <c r="H179" s="5">
        <v>1.0</v>
      </c>
      <c r="I179" s="20">
        <v>2418.11</v>
      </c>
      <c r="J179" s="2" t="s">
        <v>598</v>
      </c>
      <c r="K179" s="2" t="s">
        <v>599</v>
      </c>
      <c r="L179" s="2" t="s">
        <v>600</v>
      </c>
    </row>
    <row r="180" ht="15.75" customHeight="1">
      <c r="A180" s="13">
        <v>45589.0</v>
      </c>
      <c r="B180" s="3" t="s">
        <v>29</v>
      </c>
      <c r="C180" s="2" t="str">
        <f t="shared" si="2"/>
        <v>Ciudad De Mexico</v>
      </c>
      <c r="D180" s="19" t="s">
        <v>2340</v>
      </c>
      <c r="E180" s="19" t="s">
        <v>2341</v>
      </c>
      <c r="F180" s="19" t="s">
        <v>2350</v>
      </c>
      <c r="G180" s="20">
        <v>2499.77</v>
      </c>
      <c r="H180" s="5">
        <v>3.0</v>
      </c>
      <c r="I180" s="20">
        <v>7499.31</v>
      </c>
      <c r="J180" s="2" t="s">
        <v>601</v>
      </c>
      <c r="K180" s="2" t="s">
        <v>602</v>
      </c>
      <c r="L180" s="2" t="s">
        <v>603</v>
      </c>
    </row>
    <row r="181" ht="15.75" customHeight="1">
      <c r="A181" s="13">
        <v>45589.0</v>
      </c>
      <c r="B181" s="3" t="s">
        <v>74</v>
      </c>
      <c r="C181" s="2" t="str">
        <f t="shared" si="2"/>
        <v>Cali</v>
      </c>
      <c r="D181" s="19" t="s">
        <v>2347</v>
      </c>
      <c r="E181" s="19" t="s">
        <v>2348</v>
      </c>
      <c r="F181" s="19" t="s">
        <v>2342</v>
      </c>
      <c r="G181" s="20">
        <v>1228.74</v>
      </c>
      <c r="H181" s="5">
        <v>2.0</v>
      </c>
      <c r="I181" s="20">
        <v>2457.48</v>
      </c>
      <c r="J181" s="2" t="s">
        <v>604</v>
      </c>
      <c r="K181" s="2" t="s">
        <v>605</v>
      </c>
      <c r="L181" s="2" t="s">
        <v>606</v>
      </c>
    </row>
    <row r="182" ht="15.75" customHeight="1">
      <c r="A182" s="13">
        <v>45589.0</v>
      </c>
      <c r="B182" s="3" t="s">
        <v>29</v>
      </c>
      <c r="C182" s="2" t="str">
        <f t="shared" si="2"/>
        <v>Ciudad De Mexico</v>
      </c>
      <c r="D182" s="19" t="s">
        <v>2347</v>
      </c>
      <c r="E182" s="19" t="s">
        <v>2358</v>
      </c>
      <c r="F182" s="19" t="s">
        <v>2345</v>
      </c>
      <c r="G182" s="20">
        <v>1901.74</v>
      </c>
      <c r="H182" s="5">
        <v>4.0</v>
      </c>
      <c r="I182" s="20">
        <v>7606.96</v>
      </c>
      <c r="J182" s="2" t="s">
        <v>607</v>
      </c>
      <c r="K182" s="2" t="s">
        <v>608</v>
      </c>
      <c r="L182" s="2" t="s">
        <v>609</v>
      </c>
    </row>
    <row r="183" ht="15.75" customHeight="1">
      <c r="A183" s="13">
        <v>45589.0</v>
      </c>
      <c r="B183" s="3" t="s">
        <v>29</v>
      </c>
      <c r="C183" s="2" t="str">
        <f t="shared" si="2"/>
        <v>Ciudad De Mexico</v>
      </c>
      <c r="D183" s="19" t="s">
        <v>2340</v>
      </c>
      <c r="E183" s="19" t="s">
        <v>2341</v>
      </c>
      <c r="F183" s="19" t="s">
        <v>2342</v>
      </c>
      <c r="G183" s="16">
        <f>I183/H183</f>
        <v>743.39</v>
      </c>
      <c r="H183" s="5">
        <v>5.0</v>
      </c>
      <c r="I183" s="20">
        <v>3716.95</v>
      </c>
      <c r="J183" s="2" t="s">
        <v>610</v>
      </c>
      <c r="K183" s="2" t="s">
        <v>611</v>
      </c>
      <c r="L183" s="2" t="s">
        <v>612</v>
      </c>
    </row>
    <row r="184" ht="15.75" customHeight="1">
      <c r="A184" s="13">
        <v>45590.0</v>
      </c>
      <c r="B184" s="3" t="s">
        <v>29</v>
      </c>
      <c r="C184" s="2" t="str">
        <f t="shared" si="2"/>
        <v>Ciudad De Mexico</v>
      </c>
      <c r="D184" s="22" t="s">
        <v>2347</v>
      </c>
      <c r="E184" s="19" t="s">
        <v>2356</v>
      </c>
      <c r="F184" s="19" t="s">
        <v>2342</v>
      </c>
      <c r="G184" s="20">
        <v>2095.64</v>
      </c>
      <c r="H184" s="5">
        <v>5.0</v>
      </c>
      <c r="I184" s="20">
        <v>10478.2</v>
      </c>
      <c r="J184" s="2" t="s">
        <v>613</v>
      </c>
      <c r="K184" s="2" t="s">
        <v>614</v>
      </c>
      <c r="L184" s="2" t="s">
        <v>615</v>
      </c>
    </row>
    <row r="185" ht="15.75" customHeight="1">
      <c r="A185" s="13">
        <v>45590.0</v>
      </c>
      <c r="B185" s="3" t="s">
        <v>74</v>
      </c>
      <c r="C185" s="2" t="str">
        <f t="shared" si="2"/>
        <v>Cali</v>
      </c>
      <c r="D185" s="19" t="s">
        <v>2340</v>
      </c>
      <c r="E185" s="19" t="s">
        <v>2355</v>
      </c>
      <c r="F185" s="19" t="s">
        <v>2346</v>
      </c>
      <c r="G185" s="20">
        <v>1062.11</v>
      </c>
      <c r="H185" s="5">
        <v>2.0</v>
      </c>
      <c r="I185" s="20">
        <v>2124.22</v>
      </c>
      <c r="J185" s="2" t="s">
        <v>616</v>
      </c>
      <c r="K185" s="2" t="s">
        <v>617</v>
      </c>
      <c r="L185" s="2" t="s">
        <v>618</v>
      </c>
    </row>
    <row r="186" ht="15.75" customHeight="1">
      <c r="A186" s="13">
        <v>45590.0</v>
      </c>
      <c r="B186" s="3" t="s">
        <v>29</v>
      </c>
      <c r="C186" s="2" t="str">
        <f t="shared" si="2"/>
        <v>Ciudad De Mexico</v>
      </c>
      <c r="D186" s="19" t="s">
        <v>2347</v>
      </c>
      <c r="E186" s="19" t="s">
        <v>2358</v>
      </c>
      <c r="F186" s="19" t="s">
        <v>2350</v>
      </c>
      <c r="G186" s="20">
        <v>1363.09</v>
      </c>
      <c r="H186" s="5">
        <v>5.0</v>
      </c>
      <c r="I186" s="20">
        <v>6815.45</v>
      </c>
      <c r="J186" s="2" t="s">
        <v>619</v>
      </c>
      <c r="K186" s="2" t="s">
        <v>620</v>
      </c>
      <c r="L186" s="2" t="s">
        <v>621</v>
      </c>
    </row>
    <row r="187" ht="15.75" customHeight="1">
      <c r="A187" s="13">
        <v>45590.0</v>
      </c>
      <c r="B187" s="3" t="s">
        <v>29</v>
      </c>
      <c r="C187" s="2" t="str">
        <f t="shared" si="2"/>
        <v>Ciudad De Mexico</v>
      </c>
      <c r="D187" s="19" t="s">
        <v>2340</v>
      </c>
      <c r="E187" s="19" t="s">
        <v>2341</v>
      </c>
      <c r="F187" s="19" t="s">
        <v>2345</v>
      </c>
      <c r="G187" s="20">
        <v>1468.39</v>
      </c>
      <c r="H187" s="5">
        <v>1.0</v>
      </c>
      <c r="I187" s="20">
        <v>1468.39</v>
      </c>
      <c r="J187" s="2" t="s">
        <v>622</v>
      </c>
      <c r="K187" s="2" t="s">
        <v>623</v>
      </c>
      <c r="L187" s="2" t="s">
        <v>624</v>
      </c>
    </row>
    <row r="188" ht="15.75" customHeight="1">
      <c r="A188" s="13">
        <v>45590.0</v>
      </c>
      <c r="B188" s="2" t="s">
        <v>34</v>
      </c>
      <c r="C188" s="2" t="str">
        <f t="shared" si="2"/>
        <v>Medellín</v>
      </c>
      <c r="D188" s="19" t="s">
        <v>2340</v>
      </c>
      <c r="E188" s="19" t="s">
        <v>2349</v>
      </c>
      <c r="F188" s="19" t="s">
        <v>2346</v>
      </c>
      <c r="G188" s="20">
        <v>1823.15</v>
      </c>
      <c r="H188" s="5">
        <v>5.0</v>
      </c>
      <c r="I188" s="20">
        <v>9115.75</v>
      </c>
      <c r="J188" s="2" t="s">
        <v>625</v>
      </c>
      <c r="K188" s="2" t="s">
        <v>626</v>
      </c>
      <c r="L188" s="2" t="s">
        <v>627</v>
      </c>
    </row>
    <row r="189" ht="15.75" customHeight="1">
      <c r="A189" s="13">
        <v>45590.0</v>
      </c>
      <c r="B189" s="2" t="s">
        <v>57</v>
      </c>
      <c r="C189" s="2" t="str">
        <f t="shared" si="2"/>
        <v>Guadalajara</v>
      </c>
      <c r="D189" s="19" t="s">
        <v>2347</v>
      </c>
      <c r="E189" s="19" t="s">
        <v>2348</v>
      </c>
      <c r="F189" s="19" t="s">
        <v>2350</v>
      </c>
      <c r="G189" s="20">
        <v>2242.64</v>
      </c>
      <c r="H189" s="5">
        <v>4.0</v>
      </c>
      <c r="I189" s="20">
        <v>8970.56</v>
      </c>
      <c r="J189" s="2" t="s">
        <v>628</v>
      </c>
      <c r="K189" s="2" t="s">
        <v>629</v>
      </c>
      <c r="L189" s="2" t="s">
        <v>630</v>
      </c>
    </row>
    <row r="190" ht="15.75" customHeight="1">
      <c r="A190" s="13">
        <v>45590.0</v>
      </c>
      <c r="B190" s="2" t="s">
        <v>57</v>
      </c>
      <c r="C190" s="2" t="str">
        <f t="shared" si="2"/>
        <v>Guadalajara</v>
      </c>
      <c r="D190" s="19" t="s">
        <v>2347</v>
      </c>
      <c r="E190" s="19" t="s">
        <v>2348</v>
      </c>
      <c r="F190" s="19" t="s">
        <v>2350</v>
      </c>
      <c r="G190" s="20">
        <v>1260.9</v>
      </c>
      <c r="H190" s="5">
        <v>3.0</v>
      </c>
      <c r="I190" s="20">
        <v>3782.7</v>
      </c>
      <c r="J190" s="2" t="s">
        <v>631</v>
      </c>
      <c r="K190" s="2" t="s">
        <v>632</v>
      </c>
      <c r="L190" s="2" t="s">
        <v>633</v>
      </c>
    </row>
    <row r="191" ht="15.75" customHeight="1">
      <c r="A191" s="13">
        <v>45590.0</v>
      </c>
      <c r="B191" s="2" t="s">
        <v>57</v>
      </c>
      <c r="C191" s="2" t="str">
        <f t="shared" si="2"/>
        <v>Guadalajara</v>
      </c>
      <c r="D191" s="19" t="s">
        <v>2343</v>
      </c>
      <c r="E191" s="19" t="s">
        <v>2353</v>
      </c>
      <c r="F191" s="19" t="s">
        <v>2350</v>
      </c>
      <c r="G191" s="20">
        <v>2382.64</v>
      </c>
      <c r="H191" s="5">
        <v>4.0</v>
      </c>
      <c r="I191" s="20">
        <v>9530.56</v>
      </c>
      <c r="J191" s="2" t="s">
        <v>634</v>
      </c>
      <c r="K191" s="2" t="s">
        <v>635</v>
      </c>
      <c r="L191" s="2" t="s">
        <v>636</v>
      </c>
    </row>
    <row r="192" ht="15.75" customHeight="1">
      <c r="A192" s="13">
        <v>45591.0</v>
      </c>
      <c r="B192" s="3" t="s">
        <v>14</v>
      </c>
      <c r="C192" s="2" t="str">
        <f t="shared" si="2"/>
        <v>Bogotá</v>
      </c>
      <c r="D192" s="19" t="s">
        <v>2347</v>
      </c>
      <c r="E192" s="19" t="s">
        <v>2358</v>
      </c>
      <c r="F192" s="19" t="s">
        <v>2345</v>
      </c>
      <c r="G192" s="20">
        <v>919.0</v>
      </c>
      <c r="H192" s="5">
        <v>5.0</v>
      </c>
      <c r="I192" s="20">
        <v>4595.0</v>
      </c>
      <c r="J192" s="2" t="s">
        <v>638</v>
      </c>
      <c r="K192" s="2" t="s">
        <v>639</v>
      </c>
      <c r="L192" s="2" t="s">
        <v>640</v>
      </c>
    </row>
    <row r="193" ht="15.75" customHeight="1">
      <c r="A193" s="13">
        <v>45591.0</v>
      </c>
      <c r="B193" s="3" t="s">
        <v>14</v>
      </c>
      <c r="C193" s="2" t="str">
        <f t="shared" si="2"/>
        <v>Bogotá</v>
      </c>
      <c r="D193" s="19" t="s">
        <v>2343</v>
      </c>
      <c r="E193" s="19" t="s">
        <v>2344</v>
      </c>
      <c r="F193" s="19" t="s">
        <v>2350</v>
      </c>
      <c r="G193" s="20">
        <v>1631.22</v>
      </c>
      <c r="H193" s="5">
        <v>5.0</v>
      </c>
      <c r="I193" s="20">
        <v>8156.1</v>
      </c>
      <c r="J193" s="2" t="s">
        <v>641</v>
      </c>
      <c r="K193" s="2" t="s">
        <v>642</v>
      </c>
      <c r="L193" s="2" t="s">
        <v>643</v>
      </c>
    </row>
    <row r="194" ht="15.75" customHeight="1">
      <c r="A194" s="13">
        <v>45591.0</v>
      </c>
      <c r="B194" s="3" t="s">
        <v>14</v>
      </c>
      <c r="C194" s="2" t="str">
        <f t="shared" si="2"/>
        <v>Bogotá</v>
      </c>
      <c r="D194" s="19" t="s">
        <v>2343</v>
      </c>
      <c r="E194" s="19" t="s">
        <v>2353</v>
      </c>
      <c r="F194" s="19" t="s">
        <v>2346</v>
      </c>
      <c r="G194" s="20">
        <v>2101.18</v>
      </c>
      <c r="H194" s="5">
        <v>4.0</v>
      </c>
      <c r="I194" s="20">
        <v>8404.72</v>
      </c>
      <c r="J194" s="2" t="s">
        <v>644</v>
      </c>
      <c r="K194" s="2" t="s">
        <v>645</v>
      </c>
      <c r="L194" s="2" t="s">
        <v>646</v>
      </c>
    </row>
    <row r="195" ht="15.75" customHeight="1">
      <c r="A195" s="13">
        <v>45591.0</v>
      </c>
      <c r="B195" s="3" t="s">
        <v>14</v>
      </c>
      <c r="C195" s="2" t="str">
        <f t="shared" si="2"/>
        <v>Bogotá</v>
      </c>
      <c r="D195" s="19" t="s">
        <v>2351</v>
      </c>
      <c r="E195" s="19" t="s">
        <v>2354</v>
      </c>
      <c r="F195" s="19" t="s">
        <v>2342</v>
      </c>
      <c r="G195" s="20">
        <v>1868.91</v>
      </c>
      <c r="H195" s="5">
        <v>5.0</v>
      </c>
      <c r="I195" s="20">
        <v>9344.55</v>
      </c>
      <c r="J195" s="2" t="s">
        <v>647</v>
      </c>
      <c r="K195" s="2" t="s">
        <v>648</v>
      </c>
      <c r="L195" s="2" t="s">
        <v>649</v>
      </c>
    </row>
    <row r="196" ht="15.75" customHeight="1">
      <c r="A196" s="13">
        <v>45591.0</v>
      </c>
      <c r="B196" s="3" t="s">
        <v>14</v>
      </c>
      <c r="C196" s="2" t="str">
        <f t="shared" si="2"/>
        <v>Bogotá</v>
      </c>
      <c r="D196" s="19" t="s">
        <v>2340</v>
      </c>
      <c r="E196" s="19" t="s">
        <v>2341</v>
      </c>
      <c r="F196" s="19" t="s">
        <v>2342</v>
      </c>
      <c r="G196" s="20">
        <v>1898.24</v>
      </c>
      <c r="H196" s="5">
        <v>1.0</v>
      </c>
      <c r="I196" s="20">
        <v>1898.24</v>
      </c>
      <c r="J196" s="2" t="s">
        <v>650</v>
      </c>
      <c r="K196" s="2" t="s">
        <v>651</v>
      </c>
      <c r="L196" s="2" t="s">
        <v>652</v>
      </c>
    </row>
    <row r="197" ht="15.75" customHeight="1">
      <c r="A197" s="13">
        <v>45591.0</v>
      </c>
      <c r="B197" s="3" t="s">
        <v>74</v>
      </c>
      <c r="C197" s="2" t="str">
        <f t="shared" si="2"/>
        <v>Cali</v>
      </c>
      <c r="D197" s="19" t="s">
        <v>2347</v>
      </c>
      <c r="E197" s="19" t="s">
        <v>2348</v>
      </c>
      <c r="F197" s="19" t="s">
        <v>2342</v>
      </c>
      <c r="G197" s="20">
        <v>611.99</v>
      </c>
      <c r="H197" s="5">
        <v>2.0</v>
      </c>
      <c r="I197" s="20">
        <v>1223.98</v>
      </c>
      <c r="J197" s="2" t="s">
        <v>653</v>
      </c>
      <c r="K197" s="2" t="s">
        <v>654</v>
      </c>
      <c r="L197" s="2" t="s">
        <v>655</v>
      </c>
    </row>
    <row r="198" ht="15.75" customHeight="1">
      <c r="A198" s="13">
        <v>45591.0</v>
      </c>
      <c r="B198" s="3" t="s">
        <v>74</v>
      </c>
      <c r="C198" s="2" t="str">
        <f t="shared" si="2"/>
        <v>Cali</v>
      </c>
      <c r="D198" s="22" t="s">
        <v>2347</v>
      </c>
      <c r="E198" s="19" t="s">
        <v>2356</v>
      </c>
      <c r="F198" s="19" t="s">
        <v>2342</v>
      </c>
      <c r="G198" s="20">
        <v>403.48</v>
      </c>
      <c r="H198" s="5">
        <v>2.0</v>
      </c>
      <c r="I198" s="20">
        <v>806.96</v>
      </c>
      <c r="J198" s="2" t="s">
        <v>656</v>
      </c>
      <c r="K198" s="2" t="s">
        <v>657</v>
      </c>
      <c r="L198" s="2" t="s">
        <v>658</v>
      </c>
    </row>
    <row r="199" ht="15.75" customHeight="1">
      <c r="A199" s="13">
        <v>45591.0</v>
      </c>
      <c r="B199" s="3" t="s">
        <v>74</v>
      </c>
      <c r="C199" s="2" t="str">
        <f t="shared" si="2"/>
        <v>Cali</v>
      </c>
      <c r="D199" s="19" t="s">
        <v>2351</v>
      </c>
      <c r="E199" s="19" t="s">
        <v>2357</v>
      </c>
      <c r="F199" s="19" t="s">
        <v>2345</v>
      </c>
      <c r="G199" s="20">
        <v>724.28</v>
      </c>
      <c r="H199" s="5">
        <v>4.0</v>
      </c>
      <c r="I199" s="20">
        <v>2897.12</v>
      </c>
      <c r="J199" s="2" t="s">
        <v>659</v>
      </c>
      <c r="K199" s="2" t="s">
        <v>660</v>
      </c>
      <c r="L199" s="2" t="s">
        <v>661</v>
      </c>
    </row>
    <row r="200" ht="15.75" customHeight="1">
      <c r="A200" s="13">
        <v>45591.0</v>
      </c>
      <c r="B200" s="2" t="s">
        <v>34</v>
      </c>
      <c r="C200" s="2" t="str">
        <f t="shared" si="2"/>
        <v>Medellín</v>
      </c>
      <c r="D200" s="19" t="s">
        <v>2343</v>
      </c>
      <c r="E200" s="19" t="s">
        <v>2360</v>
      </c>
      <c r="F200" s="19" t="s">
        <v>2345</v>
      </c>
      <c r="G200" s="20">
        <v>174.28</v>
      </c>
      <c r="H200" s="5">
        <v>1.0</v>
      </c>
      <c r="I200" s="20">
        <v>174.28</v>
      </c>
      <c r="J200" s="2" t="s">
        <v>663</v>
      </c>
      <c r="K200" s="2" t="s">
        <v>664</v>
      </c>
      <c r="L200" s="2" t="s">
        <v>665</v>
      </c>
    </row>
    <row r="201" ht="15.75" customHeight="1">
      <c r="A201" s="13">
        <v>45592.0</v>
      </c>
      <c r="B201" s="3" t="s">
        <v>74</v>
      </c>
      <c r="C201" s="2" t="str">
        <f t="shared" si="2"/>
        <v>Cali</v>
      </c>
      <c r="D201" s="19" t="s">
        <v>2347</v>
      </c>
      <c r="E201" s="19" t="s">
        <v>2358</v>
      </c>
      <c r="F201" s="19" t="s">
        <v>2350</v>
      </c>
      <c r="G201" s="20">
        <v>273.42</v>
      </c>
      <c r="H201" s="5">
        <v>4.0</v>
      </c>
      <c r="I201" s="20">
        <v>1093.68</v>
      </c>
      <c r="J201" s="2" t="s">
        <v>666</v>
      </c>
      <c r="K201" s="2" t="s">
        <v>667</v>
      </c>
      <c r="L201" s="2" t="s">
        <v>668</v>
      </c>
    </row>
    <row r="202" ht="15.75" customHeight="1">
      <c r="A202" s="13">
        <v>45592.0</v>
      </c>
      <c r="B202" s="3" t="s">
        <v>29</v>
      </c>
      <c r="C202" s="2" t="str">
        <f t="shared" si="2"/>
        <v>Ciudad De Mexico</v>
      </c>
      <c r="D202" s="19" t="s">
        <v>2343</v>
      </c>
      <c r="E202" s="19" t="s">
        <v>2344</v>
      </c>
      <c r="F202" s="19" t="s">
        <v>2350</v>
      </c>
      <c r="G202" s="20">
        <v>1437.75</v>
      </c>
      <c r="H202" s="5">
        <v>5.0</v>
      </c>
      <c r="I202" s="20">
        <v>7188.75</v>
      </c>
      <c r="J202" s="2" t="s">
        <v>669</v>
      </c>
      <c r="K202" s="2" t="s">
        <v>670</v>
      </c>
      <c r="L202" s="2" t="s">
        <v>671</v>
      </c>
    </row>
    <row r="203" ht="15.75" customHeight="1">
      <c r="A203" s="13">
        <v>45592.0</v>
      </c>
      <c r="B203" s="3" t="s">
        <v>14</v>
      </c>
      <c r="C203" s="2" t="str">
        <f t="shared" si="2"/>
        <v>Bogotá</v>
      </c>
      <c r="D203" s="19" t="s">
        <v>2340</v>
      </c>
      <c r="E203" s="19" t="s">
        <v>2349</v>
      </c>
      <c r="F203" s="19" t="s">
        <v>2350</v>
      </c>
      <c r="G203" s="20">
        <v>1092.45</v>
      </c>
      <c r="H203" s="5">
        <v>3.0</v>
      </c>
      <c r="I203" s="20">
        <v>3277.35</v>
      </c>
      <c r="J203" s="2" t="s">
        <v>672</v>
      </c>
      <c r="K203" s="2" t="s">
        <v>673</v>
      </c>
      <c r="L203" s="2" t="s">
        <v>674</v>
      </c>
    </row>
    <row r="204" ht="15.75" customHeight="1">
      <c r="A204" s="13">
        <v>45592.0</v>
      </c>
      <c r="B204" s="3" t="s">
        <v>29</v>
      </c>
      <c r="C204" s="2" t="str">
        <f t="shared" si="2"/>
        <v>Ciudad De Mexico</v>
      </c>
      <c r="D204" s="19" t="s">
        <v>2351</v>
      </c>
      <c r="E204" s="19" t="s">
        <v>2352</v>
      </c>
      <c r="F204" s="19" t="s">
        <v>2346</v>
      </c>
      <c r="G204" s="20">
        <v>233.85</v>
      </c>
      <c r="H204" s="5">
        <v>3.0</v>
      </c>
      <c r="I204" s="20">
        <v>701.55</v>
      </c>
      <c r="J204" s="2" t="s">
        <v>675</v>
      </c>
      <c r="K204" s="2" t="s">
        <v>676</v>
      </c>
      <c r="L204" s="2" t="s">
        <v>677</v>
      </c>
    </row>
    <row r="205" ht="15.75" customHeight="1">
      <c r="A205" s="13">
        <v>45592.0</v>
      </c>
      <c r="B205" s="2" t="s">
        <v>34</v>
      </c>
      <c r="C205" s="2" t="str">
        <f t="shared" si="2"/>
        <v>Medellín</v>
      </c>
      <c r="D205" s="19" t="s">
        <v>2340</v>
      </c>
      <c r="E205" s="19" t="s">
        <v>2341</v>
      </c>
      <c r="F205" s="19" t="s">
        <v>2342</v>
      </c>
      <c r="G205" s="20">
        <v>832.37</v>
      </c>
      <c r="H205" s="5">
        <v>2.0</v>
      </c>
      <c r="I205" s="20">
        <v>1664.74</v>
      </c>
      <c r="J205" s="2" t="s">
        <v>678</v>
      </c>
      <c r="K205" s="2" t="s">
        <v>679</v>
      </c>
      <c r="L205" s="2" t="s">
        <v>680</v>
      </c>
    </row>
    <row r="206" ht="15.75" customHeight="1">
      <c r="A206" s="13">
        <v>45592.0</v>
      </c>
      <c r="B206" s="2" t="s">
        <v>34</v>
      </c>
      <c r="C206" s="2" t="str">
        <f t="shared" si="2"/>
        <v>Medellín</v>
      </c>
      <c r="D206" s="19" t="s">
        <v>2351</v>
      </c>
      <c r="E206" s="19" t="s">
        <v>2354</v>
      </c>
      <c r="F206" s="19" t="s">
        <v>2350</v>
      </c>
      <c r="G206" s="20">
        <v>755.38</v>
      </c>
      <c r="H206" s="5">
        <v>4.0</v>
      </c>
      <c r="I206" s="20">
        <v>3021.52</v>
      </c>
      <c r="J206" s="2" t="s">
        <v>681</v>
      </c>
      <c r="K206" s="2" t="s">
        <v>682</v>
      </c>
      <c r="L206" s="2" t="s">
        <v>683</v>
      </c>
    </row>
    <row r="207" ht="15.75" customHeight="1">
      <c r="A207" s="13">
        <v>45592.0</v>
      </c>
      <c r="B207" s="3" t="s">
        <v>29</v>
      </c>
      <c r="C207" s="2" t="str">
        <f t="shared" si="2"/>
        <v>Ciudad De Mexico</v>
      </c>
      <c r="D207" s="19" t="s">
        <v>2347</v>
      </c>
      <c r="E207" s="19" t="s">
        <v>2356</v>
      </c>
      <c r="F207" s="19" t="s">
        <v>2345</v>
      </c>
      <c r="G207" s="20">
        <v>1237.66</v>
      </c>
      <c r="H207" s="5">
        <v>1.0</v>
      </c>
      <c r="I207" s="20">
        <v>1237.66</v>
      </c>
      <c r="J207" s="2" t="s">
        <v>684</v>
      </c>
      <c r="K207" s="2" t="s">
        <v>685</v>
      </c>
      <c r="L207" s="2" t="s">
        <v>686</v>
      </c>
    </row>
    <row r="208" ht="15.75" customHeight="1">
      <c r="A208" s="13">
        <v>45592.0</v>
      </c>
      <c r="B208" s="2" t="s">
        <v>57</v>
      </c>
      <c r="C208" s="2" t="str">
        <f t="shared" si="2"/>
        <v>Guadalajara</v>
      </c>
      <c r="D208" s="19" t="s">
        <v>2343</v>
      </c>
      <c r="E208" s="19" t="s">
        <v>2360</v>
      </c>
      <c r="F208" s="19" t="s">
        <v>2345</v>
      </c>
      <c r="G208" s="20">
        <v>986.08</v>
      </c>
      <c r="H208" s="5">
        <v>4.0</v>
      </c>
      <c r="I208" s="20">
        <v>3944.32</v>
      </c>
      <c r="J208" s="2" t="s">
        <v>687</v>
      </c>
      <c r="K208" s="2" t="s">
        <v>688</v>
      </c>
      <c r="L208" s="2" t="s">
        <v>689</v>
      </c>
    </row>
    <row r="209" ht="15.75" customHeight="1">
      <c r="A209" s="13">
        <v>45592.0</v>
      </c>
      <c r="B209" s="3" t="s">
        <v>29</v>
      </c>
      <c r="C209" s="2" t="str">
        <f t="shared" si="2"/>
        <v>Ciudad De Mexico</v>
      </c>
      <c r="D209" s="19" t="s">
        <v>2340</v>
      </c>
      <c r="E209" s="19" t="s">
        <v>2341</v>
      </c>
      <c r="F209" s="19" t="s">
        <v>2346</v>
      </c>
      <c r="G209" s="20">
        <v>1984.42</v>
      </c>
      <c r="H209" s="5">
        <v>4.0</v>
      </c>
      <c r="I209" s="20">
        <v>7937.68</v>
      </c>
      <c r="J209" s="2" t="s">
        <v>690</v>
      </c>
      <c r="K209" s="2" t="s">
        <v>691</v>
      </c>
      <c r="L209" s="2" t="s">
        <v>692</v>
      </c>
    </row>
    <row r="210" ht="15.75" customHeight="1">
      <c r="A210" s="13">
        <v>45593.0</v>
      </c>
      <c r="B210" s="2" t="s">
        <v>57</v>
      </c>
      <c r="C210" s="2" t="str">
        <f t="shared" si="2"/>
        <v>Guadalajara</v>
      </c>
      <c r="D210" s="19" t="s">
        <v>2347</v>
      </c>
      <c r="E210" s="19" t="s">
        <v>2348</v>
      </c>
      <c r="F210" s="19" t="s">
        <v>2350</v>
      </c>
      <c r="G210" s="20">
        <v>1537.12</v>
      </c>
      <c r="H210" s="5">
        <v>2.0</v>
      </c>
      <c r="I210" s="20">
        <v>3074.24</v>
      </c>
      <c r="J210" s="2" t="s">
        <v>693</v>
      </c>
      <c r="K210" s="2" t="s">
        <v>694</v>
      </c>
      <c r="L210" s="2" t="s">
        <v>695</v>
      </c>
    </row>
    <row r="211" ht="15.75" customHeight="1">
      <c r="A211" s="13">
        <v>45593.0</v>
      </c>
      <c r="B211" s="3" t="s">
        <v>29</v>
      </c>
      <c r="C211" s="2" t="str">
        <f t="shared" si="2"/>
        <v>Ciudad De Mexico</v>
      </c>
      <c r="D211" s="19" t="s">
        <v>2340</v>
      </c>
      <c r="E211" s="19" t="s">
        <v>2341</v>
      </c>
      <c r="F211" s="19" t="s">
        <v>2346</v>
      </c>
      <c r="G211" s="20">
        <v>1832.39</v>
      </c>
      <c r="H211" s="5">
        <v>4.0</v>
      </c>
      <c r="I211" s="20">
        <v>7329.56</v>
      </c>
      <c r="J211" s="2" t="s">
        <v>696</v>
      </c>
      <c r="K211" s="2" t="s">
        <v>697</v>
      </c>
      <c r="L211" s="2" t="s">
        <v>698</v>
      </c>
    </row>
    <row r="212" ht="15.75" customHeight="1">
      <c r="A212" s="13">
        <v>45593.0</v>
      </c>
      <c r="B212" s="3" t="s">
        <v>74</v>
      </c>
      <c r="C212" s="2" t="str">
        <f t="shared" si="2"/>
        <v>Cali</v>
      </c>
      <c r="D212" s="19" t="s">
        <v>2351</v>
      </c>
      <c r="E212" s="19" t="s">
        <v>2352</v>
      </c>
      <c r="F212" s="19" t="s">
        <v>2345</v>
      </c>
      <c r="G212" s="20">
        <v>1834.12</v>
      </c>
      <c r="H212" s="5">
        <v>1.0</v>
      </c>
      <c r="I212" s="20">
        <v>1834.12</v>
      </c>
      <c r="J212" s="2" t="s">
        <v>699</v>
      </c>
      <c r="K212" s="2" t="s">
        <v>700</v>
      </c>
      <c r="L212" s="2" t="s">
        <v>701</v>
      </c>
    </row>
    <row r="213" ht="15.75" customHeight="1">
      <c r="A213" s="13">
        <v>45593.0</v>
      </c>
      <c r="B213" s="3" t="s">
        <v>9</v>
      </c>
      <c r="C213" s="2" t="str">
        <f t="shared" si="2"/>
        <v>Monterrey</v>
      </c>
      <c r="D213" s="19" t="s">
        <v>2343</v>
      </c>
      <c r="E213" s="19" t="s">
        <v>2359</v>
      </c>
      <c r="F213" s="19" t="s">
        <v>2346</v>
      </c>
      <c r="G213" s="20">
        <v>1779.34</v>
      </c>
      <c r="H213" s="5">
        <v>3.0</v>
      </c>
      <c r="I213" s="20">
        <v>5338.02</v>
      </c>
      <c r="J213" s="2" t="s">
        <v>702</v>
      </c>
      <c r="K213" s="2" t="s">
        <v>703</v>
      </c>
      <c r="L213" s="2" t="s">
        <v>704</v>
      </c>
    </row>
    <row r="214" ht="15.75" customHeight="1">
      <c r="A214" s="13">
        <v>45593.0</v>
      </c>
      <c r="B214" s="3" t="s">
        <v>29</v>
      </c>
      <c r="C214" s="2" t="str">
        <f t="shared" si="2"/>
        <v>Ciudad De Mexico</v>
      </c>
      <c r="D214" s="19" t="s">
        <v>2351</v>
      </c>
      <c r="E214" s="19" t="s">
        <v>2352</v>
      </c>
      <c r="F214" s="19" t="s">
        <v>2345</v>
      </c>
      <c r="G214" s="20">
        <v>2484.65</v>
      </c>
      <c r="H214" s="5">
        <v>2.0</v>
      </c>
      <c r="I214" s="20">
        <v>4969.3</v>
      </c>
      <c r="J214" s="2" t="s">
        <v>705</v>
      </c>
      <c r="K214" s="2" t="s">
        <v>706</v>
      </c>
      <c r="L214" s="2" t="s">
        <v>707</v>
      </c>
    </row>
    <row r="215" ht="15.75" customHeight="1">
      <c r="A215" s="13">
        <v>45593.0</v>
      </c>
      <c r="B215" s="2" t="s">
        <v>34</v>
      </c>
      <c r="C215" s="2" t="str">
        <f t="shared" si="2"/>
        <v>Medellín</v>
      </c>
      <c r="D215" s="19" t="s">
        <v>2351</v>
      </c>
      <c r="E215" s="19" t="s">
        <v>2357</v>
      </c>
      <c r="F215" s="19" t="s">
        <v>2346</v>
      </c>
      <c r="G215" s="20">
        <v>371.09</v>
      </c>
      <c r="H215" s="5">
        <v>4.0</v>
      </c>
      <c r="I215" s="20">
        <v>1484.36</v>
      </c>
      <c r="J215" s="2" t="s">
        <v>708</v>
      </c>
      <c r="K215" s="2" t="s">
        <v>709</v>
      </c>
      <c r="L215" s="2" t="s">
        <v>710</v>
      </c>
    </row>
    <row r="216" ht="15.75" customHeight="1">
      <c r="A216" s="13">
        <v>45593.0</v>
      </c>
      <c r="B216" s="3" t="s">
        <v>14</v>
      </c>
      <c r="C216" s="2" t="str">
        <f t="shared" si="2"/>
        <v>Bogotá</v>
      </c>
      <c r="D216" s="19" t="s">
        <v>2340</v>
      </c>
      <c r="E216" s="19" t="s">
        <v>2349</v>
      </c>
      <c r="F216" s="19" t="s">
        <v>2342</v>
      </c>
      <c r="G216" s="20">
        <v>2493.45</v>
      </c>
      <c r="H216" s="5">
        <v>2.0</v>
      </c>
      <c r="I216" s="20">
        <v>4986.9</v>
      </c>
      <c r="J216" s="2" t="s">
        <v>711</v>
      </c>
      <c r="K216" s="2" t="s">
        <v>712</v>
      </c>
      <c r="L216" s="2" t="s">
        <v>713</v>
      </c>
    </row>
    <row r="217" ht="15.75" customHeight="1">
      <c r="A217" s="13">
        <v>45593.0</v>
      </c>
      <c r="B217" s="2" t="s">
        <v>57</v>
      </c>
      <c r="C217" s="2" t="str">
        <f t="shared" si="2"/>
        <v>Guadalajara</v>
      </c>
      <c r="D217" s="19" t="s">
        <v>2347</v>
      </c>
      <c r="E217" s="19" t="s">
        <v>2358</v>
      </c>
      <c r="F217" s="19" t="s">
        <v>2345</v>
      </c>
      <c r="G217" s="20">
        <v>1010.17</v>
      </c>
      <c r="H217" s="5">
        <v>1.0</v>
      </c>
      <c r="I217" s="20">
        <v>1010.17</v>
      </c>
      <c r="J217" s="2" t="s">
        <v>714</v>
      </c>
      <c r="K217" s="2" t="s">
        <v>715</v>
      </c>
      <c r="L217" s="2" t="s">
        <v>716</v>
      </c>
    </row>
    <row r="218" ht="15.75" customHeight="1">
      <c r="A218" s="13">
        <v>45593.0</v>
      </c>
      <c r="B218" s="3" t="s">
        <v>14</v>
      </c>
      <c r="C218" s="2" t="str">
        <f t="shared" si="2"/>
        <v>Bogotá</v>
      </c>
      <c r="D218" s="19" t="s">
        <v>2351</v>
      </c>
      <c r="E218" s="19" t="s">
        <v>2357</v>
      </c>
      <c r="F218" s="19" t="s">
        <v>2346</v>
      </c>
      <c r="G218" s="20">
        <v>2472.61</v>
      </c>
      <c r="H218" s="5">
        <v>5.0</v>
      </c>
      <c r="I218" s="20">
        <v>12363.05</v>
      </c>
      <c r="J218" s="2" t="s">
        <v>717</v>
      </c>
      <c r="K218" s="2" t="s">
        <v>718</v>
      </c>
      <c r="L218" s="2" t="s">
        <v>719</v>
      </c>
    </row>
    <row r="219" ht="15.75" customHeight="1">
      <c r="A219" s="13">
        <v>45594.0</v>
      </c>
      <c r="B219" s="2" t="s">
        <v>57</v>
      </c>
      <c r="C219" s="2" t="str">
        <f t="shared" si="2"/>
        <v>Guadalajara</v>
      </c>
      <c r="D219" s="19" t="s">
        <v>2343</v>
      </c>
      <c r="E219" s="19" t="s">
        <v>2360</v>
      </c>
      <c r="F219" s="19" t="s">
        <v>2342</v>
      </c>
      <c r="G219" s="20">
        <v>1741.09</v>
      </c>
      <c r="H219" s="5">
        <v>4.0</v>
      </c>
      <c r="I219" s="20">
        <v>6964.36</v>
      </c>
      <c r="J219" s="2" t="s">
        <v>720</v>
      </c>
      <c r="K219" s="2" t="s">
        <v>721</v>
      </c>
      <c r="L219" s="2" t="s">
        <v>722</v>
      </c>
    </row>
    <row r="220" ht="15.75" customHeight="1">
      <c r="A220" s="13">
        <v>45594.0</v>
      </c>
      <c r="B220" s="3" t="s">
        <v>29</v>
      </c>
      <c r="C220" s="2" t="str">
        <f t="shared" si="2"/>
        <v>Ciudad De Mexico</v>
      </c>
      <c r="D220" s="19" t="s">
        <v>2347</v>
      </c>
      <c r="E220" s="19" t="s">
        <v>2358</v>
      </c>
      <c r="F220" s="19" t="s">
        <v>2346</v>
      </c>
      <c r="G220" s="20">
        <v>1290.52</v>
      </c>
      <c r="H220" s="5">
        <v>3.0</v>
      </c>
      <c r="I220" s="20">
        <v>3871.56</v>
      </c>
      <c r="J220" s="2" t="s">
        <v>723</v>
      </c>
      <c r="K220" s="2" t="s">
        <v>724</v>
      </c>
      <c r="L220" s="2" t="s">
        <v>725</v>
      </c>
    </row>
    <row r="221" ht="15.75" customHeight="1">
      <c r="A221" s="13">
        <v>45594.0</v>
      </c>
      <c r="B221" s="2" t="s">
        <v>57</v>
      </c>
      <c r="C221" s="2" t="str">
        <f t="shared" si="2"/>
        <v>Guadalajara</v>
      </c>
      <c r="D221" s="22" t="s">
        <v>2347</v>
      </c>
      <c r="E221" s="19" t="s">
        <v>2356</v>
      </c>
      <c r="F221" s="19" t="s">
        <v>2342</v>
      </c>
      <c r="G221" s="20">
        <v>1598.45</v>
      </c>
      <c r="H221" s="5">
        <v>3.0</v>
      </c>
      <c r="I221" s="20">
        <v>4795.35</v>
      </c>
      <c r="J221" s="2" t="s">
        <v>726</v>
      </c>
      <c r="K221" s="2" t="s">
        <v>727</v>
      </c>
      <c r="L221" s="2" t="s">
        <v>728</v>
      </c>
    </row>
    <row r="222" ht="15.75" customHeight="1">
      <c r="A222" s="13">
        <v>45594.0</v>
      </c>
      <c r="B222" s="2" t="s">
        <v>34</v>
      </c>
      <c r="C222" s="2" t="str">
        <f t="shared" si="2"/>
        <v>Medellín</v>
      </c>
      <c r="D222" s="19" t="s">
        <v>2351</v>
      </c>
      <c r="E222" s="19" t="s">
        <v>2354</v>
      </c>
      <c r="F222" s="19" t="s">
        <v>2350</v>
      </c>
      <c r="G222" s="20">
        <v>1156.44</v>
      </c>
      <c r="H222" s="5">
        <v>1.0</v>
      </c>
      <c r="I222" s="20">
        <v>1156.44</v>
      </c>
      <c r="J222" s="2" t="s">
        <v>729</v>
      </c>
      <c r="K222" s="2" t="s">
        <v>730</v>
      </c>
      <c r="L222" s="2" t="s">
        <v>731</v>
      </c>
    </row>
    <row r="223" ht="15.75" customHeight="1">
      <c r="A223" s="13">
        <v>45594.0</v>
      </c>
      <c r="B223" s="3" t="s">
        <v>14</v>
      </c>
      <c r="C223" s="2" t="str">
        <f t="shared" si="2"/>
        <v>Bogotá</v>
      </c>
      <c r="D223" s="19" t="s">
        <v>2347</v>
      </c>
      <c r="E223" s="19" t="s">
        <v>2348</v>
      </c>
      <c r="F223" s="19" t="s">
        <v>2345</v>
      </c>
      <c r="G223" s="20">
        <v>288.29</v>
      </c>
      <c r="H223" s="5">
        <v>3.0</v>
      </c>
      <c r="I223" s="20">
        <v>864.87</v>
      </c>
      <c r="J223" s="2" t="s">
        <v>732</v>
      </c>
      <c r="K223" s="2" t="s">
        <v>733</v>
      </c>
      <c r="L223" s="2" t="s">
        <v>734</v>
      </c>
    </row>
    <row r="224" ht="15.75" customHeight="1">
      <c r="A224" s="13">
        <v>45594.0</v>
      </c>
      <c r="B224" s="3" t="s">
        <v>74</v>
      </c>
      <c r="C224" s="2" t="str">
        <f t="shared" si="2"/>
        <v>Cali</v>
      </c>
      <c r="D224" s="19" t="s">
        <v>2340</v>
      </c>
      <c r="E224" s="19" t="s">
        <v>2355</v>
      </c>
      <c r="F224" s="19" t="s">
        <v>2350</v>
      </c>
      <c r="G224" s="20">
        <v>1164.32</v>
      </c>
      <c r="H224" s="5">
        <v>3.0</v>
      </c>
      <c r="I224" s="20">
        <v>3492.96</v>
      </c>
      <c r="J224" s="2" t="s">
        <v>735</v>
      </c>
      <c r="K224" s="2" t="s">
        <v>736</v>
      </c>
      <c r="L224" s="2" t="s">
        <v>737</v>
      </c>
    </row>
    <row r="225" ht="15.75" customHeight="1">
      <c r="A225" s="13">
        <v>45594.0</v>
      </c>
      <c r="B225" s="2" t="s">
        <v>57</v>
      </c>
      <c r="C225" s="2" t="str">
        <f t="shared" si="2"/>
        <v>Guadalajara</v>
      </c>
      <c r="D225" s="19" t="s">
        <v>2340</v>
      </c>
      <c r="E225" s="19" t="s">
        <v>2349</v>
      </c>
      <c r="F225" s="19" t="s">
        <v>2350</v>
      </c>
      <c r="G225" s="20">
        <v>429.21</v>
      </c>
      <c r="H225" s="5">
        <v>5.0</v>
      </c>
      <c r="I225" s="20">
        <v>2146.05</v>
      </c>
      <c r="J225" s="2" t="s">
        <v>738</v>
      </c>
      <c r="K225" s="2" t="s">
        <v>739</v>
      </c>
      <c r="L225" s="2" t="s">
        <v>740</v>
      </c>
    </row>
    <row r="226" ht="15.75" customHeight="1">
      <c r="A226" s="13">
        <v>45594.0</v>
      </c>
      <c r="B226" s="3" t="s">
        <v>74</v>
      </c>
      <c r="C226" s="2" t="str">
        <f t="shared" si="2"/>
        <v>Cali</v>
      </c>
      <c r="D226" s="19" t="s">
        <v>2347</v>
      </c>
      <c r="E226" s="19" t="s">
        <v>2356</v>
      </c>
      <c r="F226" s="19" t="s">
        <v>2350</v>
      </c>
      <c r="G226" s="20">
        <v>847.32</v>
      </c>
      <c r="H226" s="5">
        <v>5.0</v>
      </c>
      <c r="I226" s="20">
        <v>4236.6</v>
      </c>
      <c r="J226" s="2" t="s">
        <v>741</v>
      </c>
      <c r="K226" s="2" t="s">
        <v>742</v>
      </c>
      <c r="L226" s="2" t="s">
        <v>743</v>
      </c>
    </row>
    <row r="227" ht="15.75" customHeight="1">
      <c r="A227" s="13">
        <v>45594.0</v>
      </c>
      <c r="B227" s="3" t="s">
        <v>29</v>
      </c>
      <c r="C227" s="2" t="str">
        <f t="shared" si="2"/>
        <v>Ciudad De Mexico</v>
      </c>
      <c r="D227" s="19" t="s">
        <v>2340</v>
      </c>
      <c r="E227" s="19" t="s">
        <v>2349</v>
      </c>
      <c r="F227" s="19" t="s">
        <v>2350</v>
      </c>
      <c r="G227" s="20">
        <v>509.58</v>
      </c>
      <c r="H227" s="5">
        <v>3.0</v>
      </c>
      <c r="I227" s="20">
        <v>1528.74</v>
      </c>
      <c r="J227" s="2" t="s">
        <v>744</v>
      </c>
      <c r="K227" s="2" t="s">
        <v>745</v>
      </c>
      <c r="L227" s="2" t="s">
        <v>746</v>
      </c>
    </row>
    <row r="228" ht="15.75" customHeight="1">
      <c r="A228" s="13">
        <v>45594.0</v>
      </c>
      <c r="B228" s="2" t="s">
        <v>57</v>
      </c>
      <c r="C228" s="2" t="str">
        <f t="shared" si="2"/>
        <v>Guadalajara</v>
      </c>
      <c r="D228" s="19" t="s">
        <v>2351</v>
      </c>
      <c r="E228" s="19" t="s">
        <v>2352</v>
      </c>
      <c r="F228" s="19" t="s">
        <v>2342</v>
      </c>
      <c r="G228" s="20">
        <v>2248.35</v>
      </c>
      <c r="H228" s="5">
        <v>5.0</v>
      </c>
      <c r="I228" s="20">
        <v>11241.75</v>
      </c>
      <c r="J228" s="2" t="s">
        <v>747</v>
      </c>
      <c r="K228" s="2" t="s">
        <v>748</v>
      </c>
      <c r="L228" s="2" t="s">
        <v>749</v>
      </c>
    </row>
    <row r="229" ht="15.75" customHeight="1">
      <c r="A229" s="13">
        <v>45594.0</v>
      </c>
      <c r="B229" s="3" t="s">
        <v>29</v>
      </c>
      <c r="C229" s="2" t="str">
        <f t="shared" si="2"/>
        <v>Ciudad De Mexico</v>
      </c>
      <c r="D229" s="19" t="s">
        <v>2340</v>
      </c>
      <c r="E229" s="19" t="s">
        <v>2349</v>
      </c>
      <c r="F229" s="19" t="s">
        <v>2346</v>
      </c>
      <c r="G229" s="20">
        <v>2388.79</v>
      </c>
      <c r="H229" s="5">
        <v>2.0</v>
      </c>
      <c r="I229" s="20">
        <v>4777.58</v>
      </c>
      <c r="J229" s="2" t="s">
        <v>750</v>
      </c>
      <c r="K229" s="2" t="s">
        <v>751</v>
      </c>
      <c r="L229" s="2" t="s">
        <v>752</v>
      </c>
    </row>
    <row r="230" ht="15.75" customHeight="1">
      <c r="A230" s="13">
        <v>45594.0</v>
      </c>
      <c r="B230" s="3" t="s">
        <v>29</v>
      </c>
      <c r="C230" s="2" t="str">
        <f t="shared" si="2"/>
        <v>Ciudad De Mexico</v>
      </c>
      <c r="D230" s="19" t="s">
        <v>2351</v>
      </c>
      <c r="E230" s="19" t="s">
        <v>2357</v>
      </c>
      <c r="F230" s="19" t="s">
        <v>2346</v>
      </c>
      <c r="G230" s="20">
        <v>2343.81</v>
      </c>
      <c r="H230" s="5">
        <v>4.0</v>
      </c>
      <c r="I230" s="20">
        <v>9375.24</v>
      </c>
      <c r="J230" s="2" t="s">
        <v>753</v>
      </c>
      <c r="K230" s="2" t="s">
        <v>754</v>
      </c>
      <c r="L230" s="2" t="s">
        <v>755</v>
      </c>
    </row>
    <row r="231" ht="15.75" customHeight="1">
      <c r="A231" s="13">
        <v>45594.0</v>
      </c>
      <c r="B231" s="3" t="s">
        <v>14</v>
      </c>
      <c r="C231" s="2" t="str">
        <f t="shared" si="2"/>
        <v>Bogotá</v>
      </c>
      <c r="D231" s="19" t="s">
        <v>2347</v>
      </c>
      <c r="E231" s="19" t="s">
        <v>2356</v>
      </c>
      <c r="F231" s="19" t="s">
        <v>2350</v>
      </c>
      <c r="G231" s="20">
        <v>140.58</v>
      </c>
      <c r="H231" s="5">
        <v>3.0</v>
      </c>
      <c r="I231" s="20">
        <v>421.74</v>
      </c>
      <c r="J231" s="2" t="s">
        <v>756</v>
      </c>
      <c r="K231" s="2" t="s">
        <v>757</v>
      </c>
      <c r="L231" s="2" t="s">
        <v>758</v>
      </c>
    </row>
    <row r="232" ht="15.75" customHeight="1">
      <c r="A232" s="13">
        <v>45594.0</v>
      </c>
      <c r="B232" s="3" t="s">
        <v>29</v>
      </c>
      <c r="C232" s="2" t="str">
        <f t="shared" si="2"/>
        <v>Ciudad De Mexico</v>
      </c>
      <c r="D232" s="19" t="s">
        <v>2347</v>
      </c>
      <c r="E232" s="19" t="s">
        <v>2348</v>
      </c>
      <c r="F232" s="19" t="s">
        <v>2342</v>
      </c>
      <c r="G232" s="20">
        <v>1292.41</v>
      </c>
      <c r="H232" s="5">
        <v>5.0</v>
      </c>
      <c r="I232" s="20">
        <v>6462.05</v>
      </c>
      <c r="J232" s="2" t="s">
        <v>759</v>
      </c>
      <c r="K232" s="2" t="s">
        <v>760</v>
      </c>
      <c r="L232" s="2" t="s">
        <v>761</v>
      </c>
    </row>
    <row r="233" ht="15.75" customHeight="1">
      <c r="A233" s="13">
        <v>45595.0</v>
      </c>
      <c r="B233" s="2" t="s">
        <v>57</v>
      </c>
      <c r="C233" s="2" t="str">
        <f t="shared" si="2"/>
        <v>Guadalajara</v>
      </c>
      <c r="D233" s="19" t="s">
        <v>2351</v>
      </c>
      <c r="E233" s="19" t="s">
        <v>2352</v>
      </c>
      <c r="F233" s="19" t="s">
        <v>2345</v>
      </c>
      <c r="G233" s="20">
        <v>1099.54</v>
      </c>
      <c r="H233" s="5">
        <v>2.0</v>
      </c>
      <c r="I233" s="20">
        <v>2199.08</v>
      </c>
      <c r="J233" s="2" t="s">
        <v>762</v>
      </c>
      <c r="K233" s="2" t="s">
        <v>763</v>
      </c>
      <c r="L233" s="2" t="s">
        <v>764</v>
      </c>
    </row>
    <row r="234" ht="15.75" customHeight="1">
      <c r="A234" s="13">
        <v>45595.0</v>
      </c>
      <c r="B234" s="3" t="s">
        <v>74</v>
      </c>
      <c r="C234" s="2" t="str">
        <f t="shared" si="2"/>
        <v>Cali</v>
      </c>
      <c r="D234" s="19" t="s">
        <v>2347</v>
      </c>
      <c r="E234" s="19" t="s">
        <v>2348</v>
      </c>
      <c r="F234" s="19" t="s">
        <v>2345</v>
      </c>
      <c r="G234" s="20">
        <v>2317.48</v>
      </c>
      <c r="H234" s="5">
        <v>1.0</v>
      </c>
      <c r="I234" s="20">
        <v>2317.48</v>
      </c>
      <c r="J234" s="2" t="s">
        <v>765</v>
      </c>
      <c r="K234" s="2" t="s">
        <v>766</v>
      </c>
      <c r="L234" s="2" t="s">
        <v>767</v>
      </c>
    </row>
    <row r="235" ht="15.75" customHeight="1">
      <c r="A235" s="13">
        <v>45595.0</v>
      </c>
      <c r="B235" s="2" t="s">
        <v>57</v>
      </c>
      <c r="C235" s="2" t="str">
        <f t="shared" si="2"/>
        <v>Guadalajara</v>
      </c>
      <c r="D235" s="19" t="s">
        <v>2340</v>
      </c>
      <c r="E235" s="19" t="s">
        <v>2355</v>
      </c>
      <c r="F235" s="19" t="s">
        <v>2342</v>
      </c>
      <c r="G235" s="20">
        <v>797.71</v>
      </c>
      <c r="H235" s="5">
        <v>1.0</v>
      </c>
      <c r="I235" s="20">
        <v>797.71</v>
      </c>
      <c r="J235" s="2" t="s">
        <v>768</v>
      </c>
      <c r="K235" s="2" t="s">
        <v>769</v>
      </c>
      <c r="L235" s="2" t="s">
        <v>770</v>
      </c>
    </row>
    <row r="236" ht="15.75" customHeight="1">
      <c r="A236" s="13">
        <v>45595.0</v>
      </c>
      <c r="B236" s="2" t="s">
        <v>34</v>
      </c>
      <c r="C236" s="2" t="str">
        <f t="shared" si="2"/>
        <v>Medellín</v>
      </c>
      <c r="D236" s="19" t="s">
        <v>2343</v>
      </c>
      <c r="E236" s="19" t="s">
        <v>2353</v>
      </c>
      <c r="F236" s="19" t="s">
        <v>2342</v>
      </c>
      <c r="G236" s="20">
        <v>1861.0</v>
      </c>
      <c r="H236" s="5">
        <v>5.0</v>
      </c>
      <c r="I236" s="20">
        <v>9305.0</v>
      </c>
      <c r="J236" s="2" t="s">
        <v>771</v>
      </c>
      <c r="K236" s="2" t="s">
        <v>772</v>
      </c>
      <c r="L236" s="2" t="s">
        <v>773</v>
      </c>
    </row>
    <row r="237" ht="15.75" customHeight="1">
      <c r="A237" s="13">
        <v>45595.0</v>
      </c>
      <c r="B237" s="2" t="s">
        <v>34</v>
      </c>
      <c r="C237" s="2" t="str">
        <f t="shared" si="2"/>
        <v>Medellín</v>
      </c>
      <c r="D237" s="19" t="s">
        <v>2343</v>
      </c>
      <c r="E237" s="19" t="s">
        <v>2353</v>
      </c>
      <c r="F237" s="19" t="s">
        <v>2350</v>
      </c>
      <c r="G237" s="20">
        <v>201.31</v>
      </c>
      <c r="H237" s="5">
        <v>5.0</v>
      </c>
      <c r="I237" s="20">
        <v>1006.55</v>
      </c>
      <c r="J237" s="2" t="s">
        <v>774</v>
      </c>
      <c r="K237" s="2" t="s">
        <v>775</v>
      </c>
      <c r="L237" s="2" t="s">
        <v>776</v>
      </c>
    </row>
    <row r="238" ht="15.75" customHeight="1">
      <c r="A238" s="13">
        <v>45596.0</v>
      </c>
      <c r="B238" s="3" t="s">
        <v>87</v>
      </c>
      <c r="C238" s="2" t="str">
        <f t="shared" si="2"/>
        <v>Tulum</v>
      </c>
      <c r="D238" s="19" t="s">
        <v>2351</v>
      </c>
      <c r="E238" s="19" t="s">
        <v>2352</v>
      </c>
      <c r="F238" s="19" t="s">
        <v>2345</v>
      </c>
      <c r="G238" s="20">
        <v>1889.28</v>
      </c>
      <c r="H238" s="5">
        <v>4.0</v>
      </c>
      <c r="I238" s="20">
        <v>7557.12</v>
      </c>
      <c r="J238" s="2" t="s">
        <v>777</v>
      </c>
      <c r="K238" s="2" t="s">
        <v>778</v>
      </c>
      <c r="L238" s="2" t="s">
        <v>779</v>
      </c>
    </row>
    <row r="239" ht="15.75" customHeight="1">
      <c r="A239" s="13">
        <v>45596.0</v>
      </c>
      <c r="B239" s="3" t="s">
        <v>14</v>
      </c>
      <c r="C239" s="2" t="str">
        <f t="shared" si="2"/>
        <v>Bogotá</v>
      </c>
      <c r="D239" s="19" t="s">
        <v>2351</v>
      </c>
      <c r="E239" s="19" t="s">
        <v>2354</v>
      </c>
      <c r="F239" s="19" t="s">
        <v>2342</v>
      </c>
      <c r="G239" s="20">
        <v>1451.3</v>
      </c>
      <c r="H239" s="5">
        <v>2.0</v>
      </c>
      <c r="I239" s="20">
        <v>2902.6</v>
      </c>
      <c r="J239" s="2" t="s">
        <v>780</v>
      </c>
      <c r="K239" s="2" t="s">
        <v>781</v>
      </c>
      <c r="L239" s="2" t="s">
        <v>782</v>
      </c>
    </row>
    <row r="240" ht="15.75" customHeight="1">
      <c r="A240" s="13">
        <v>45596.0</v>
      </c>
      <c r="B240" s="2" t="s">
        <v>34</v>
      </c>
      <c r="C240" s="2" t="str">
        <f t="shared" si="2"/>
        <v>Medellín</v>
      </c>
      <c r="D240" s="19" t="s">
        <v>2351</v>
      </c>
      <c r="E240" s="19" t="s">
        <v>2354</v>
      </c>
      <c r="F240" s="19" t="s">
        <v>2350</v>
      </c>
      <c r="G240" s="20">
        <v>2266.71</v>
      </c>
      <c r="H240" s="5">
        <v>2.0</v>
      </c>
      <c r="I240" s="20">
        <v>4533.42</v>
      </c>
      <c r="J240" s="2" t="s">
        <v>783</v>
      </c>
      <c r="K240" s="2" t="s">
        <v>784</v>
      </c>
      <c r="L240" s="2" t="s">
        <v>785</v>
      </c>
    </row>
    <row r="241" ht="15.75" customHeight="1">
      <c r="A241" s="13">
        <v>45596.0</v>
      </c>
      <c r="B241" s="3" t="s">
        <v>14</v>
      </c>
      <c r="C241" s="2" t="str">
        <f t="shared" si="2"/>
        <v>Bogotá</v>
      </c>
      <c r="D241" s="19" t="s">
        <v>2340</v>
      </c>
      <c r="E241" s="19" t="s">
        <v>2341</v>
      </c>
      <c r="F241" s="19" t="s">
        <v>2350</v>
      </c>
      <c r="G241" s="20">
        <v>287.48</v>
      </c>
      <c r="H241" s="5">
        <v>4.0</v>
      </c>
      <c r="I241" s="20">
        <v>1149.92</v>
      </c>
      <c r="J241" s="2" t="s">
        <v>786</v>
      </c>
      <c r="K241" s="2" t="s">
        <v>787</v>
      </c>
      <c r="L241" s="2" t="s">
        <v>788</v>
      </c>
    </row>
    <row r="242" ht="15.75" customHeight="1">
      <c r="A242" s="13">
        <v>45596.0</v>
      </c>
      <c r="B242" s="3" t="s">
        <v>74</v>
      </c>
      <c r="C242" s="2" t="str">
        <f t="shared" si="2"/>
        <v>Cali</v>
      </c>
      <c r="D242" s="19" t="s">
        <v>2340</v>
      </c>
      <c r="E242" s="19" t="s">
        <v>2349</v>
      </c>
      <c r="F242" s="19" t="s">
        <v>2345</v>
      </c>
      <c r="G242" s="20">
        <v>1758.16</v>
      </c>
      <c r="H242" s="5">
        <v>5.0</v>
      </c>
      <c r="I242" s="20">
        <v>8790.8</v>
      </c>
      <c r="J242" s="2" t="s">
        <v>789</v>
      </c>
      <c r="K242" s="2" t="s">
        <v>790</v>
      </c>
      <c r="L242" s="2" t="s">
        <v>791</v>
      </c>
    </row>
    <row r="243" ht="15.75" customHeight="1">
      <c r="A243" s="13">
        <v>45596.0</v>
      </c>
      <c r="B243" s="2" t="s">
        <v>34</v>
      </c>
      <c r="C243" s="2" t="str">
        <f t="shared" si="2"/>
        <v>Medellín</v>
      </c>
      <c r="D243" s="19" t="s">
        <v>2343</v>
      </c>
      <c r="E243" s="19" t="s">
        <v>2344</v>
      </c>
      <c r="F243" s="19" t="s">
        <v>2346</v>
      </c>
      <c r="G243" s="20">
        <v>273.01</v>
      </c>
      <c r="H243" s="5">
        <v>1.0</v>
      </c>
      <c r="I243" s="20">
        <v>273.01</v>
      </c>
      <c r="J243" s="2" t="s">
        <v>792</v>
      </c>
      <c r="K243" s="2" t="s">
        <v>793</v>
      </c>
      <c r="L243" s="2" t="s">
        <v>794</v>
      </c>
    </row>
    <row r="244" ht="15.75" customHeight="1">
      <c r="A244" s="13">
        <v>45597.0</v>
      </c>
      <c r="B244" s="3" t="s">
        <v>74</v>
      </c>
      <c r="C244" s="2" t="str">
        <f t="shared" si="2"/>
        <v>Cali</v>
      </c>
      <c r="D244" s="19" t="s">
        <v>2347</v>
      </c>
      <c r="E244" s="19" t="s">
        <v>2358</v>
      </c>
      <c r="F244" s="19" t="s">
        <v>2345</v>
      </c>
      <c r="G244" s="20">
        <v>434.9</v>
      </c>
      <c r="H244" s="5">
        <v>1.0</v>
      </c>
      <c r="I244" s="20">
        <v>434.9</v>
      </c>
      <c r="J244" s="2" t="s">
        <v>795</v>
      </c>
      <c r="K244" s="2" t="s">
        <v>796</v>
      </c>
      <c r="L244" s="2" t="s">
        <v>797</v>
      </c>
    </row>
    <row r="245" ht="15.75" customHeight="1">
      <c r="A245" s="13">
        <v>45597.0</v>
      </c>
      <c r="B245" s="3" t="s">
        <v>9</v>
      </c>
      <c r="C245" s="2" t="str">
        <f t="shared" si="2"/>
        <v>Monterrey</v>
      </c>
      <c r="D245" s="19" t="s">
        <v>2351</v>
      </c>
      <c r="E245" s="19" t="s">
        <v>2352</v>
      </c>
      <c r="F245" s="19" t="s">
        <v>2345</v>
      </c>
      <c r="G245" s="20">
        <v>719.59</v>
      </c>
      <c r="H245" s="5">
        <v>3.0</v>
      </c>
      <c r="I245" s="20">
        <v>2158.77</v>
      </c>
      <c r="J245" s="2" t="s">
        <v>798</v>
      </c>
      <c r="K245" s="2" t="s">
        <v>799</v>
      </c>
      <c r="L245" s="2" t="s">
        <v>800</v>
      </c>
    </row>
    <row r="246" ht="15.75" customHeight="1">
      <c r="A246" s="13">
        <v>45597.0</v>
      </c>
      <c r="B246" s="2" t="s">
        <v>57</v>
      </c>
      <c r="C246" s="2" t="str">
        <f t="shared" si="2"/>
        <v>Guadalajara</v>
      </c>
      <c r="D246" s="19" t="s">
        <v>2347</v>
      </c>
      <c r="E246" s="19" t="s">
        <v>2348</v>
      </c>
      <c r="F246" s="19" t="s">
        <v>2342</v>
      </c>
      <c r="G246" s="20">
        <v>1912.53</v>
      </c>
      <c r="H246" s="5">
        <v>1.0</v>
      </c>
      <c r="I246" s="20">
        <v>1912.53</v>
      </c>
      <c r="J246" s="2" t="s">
        <v>801</v>
      </c>
      <c r="K246" s="2" t="s">
        <v>802</v>
      </c>
      <c r="L246" s="2" t="s">
        <v>803</v>
      </c>
    </row>
    <row r="247" ht="15.75" customHeight="1">
      <c r="A247" s="13">
        <v>45597.0</v>
      </c>
      <c r="B247" s="2" t="s">
        <v>34</v>
      </c>
      <c r="C247" s="2" t="str">
        <f t="shared" si="2"/>
        <v>Medellín</v>
      </c>
      <c r="D247" s="19" t="s">
        <v>2343</v>
      </c>
      <c r="E247" s="19" t="s">
        <v>2353</v>
      </c>
      <c r="F247" s="19" t="s">
        <v>2346</v>
      </c>
      <c r="G247" s="20">
        <v>2196.83</v>
      </c>
      <c r="H247" s="5">
        <v>5.0</v>
      </c>
      <c r="I247" s="20">
        <v>10984.15</v>
      </c>
      <c r="J247" s="2" t="s">
        <v>804</v>
      </c>
      <c r="K247" s="2" t="s">
        <v>805</v>
      </c>
      <c r="L247" s="2" t="s">
        <v>806</v>
      </c>
    </row>
    <row r="248" ht="15.75" customHeight="1">
      <c r="A248" s="13">
        <v>45597.0</v>
      </c>
      <c r="B248" s="3" t="s">
        <v>14</v>
      </c>
      <c r="C248" s="2" t="str">
        <f t="shared" si="2"/>
        <v>Bogotá</v>
      </c>
      <c r="D248" s="19" t="s">
        <v>2347</v>
      </c>
      <c r="E248" s="19" t="s">
        <v>2348</v>
      </c>
      <c r="F248" s="19" t="s">
        <v>2350</v>
      </c>
      <c r="G248" s="20">
        <v>1992.15</v>
      </c>
      <c r="H248" s="5">
        <v>2.0</v>
      </c>
      <c r="I248" s="20">
        <v>3984.3</v>
      </c>
      <c r="J248" s="2" t="s">
        <v>807</v>
      </c>
      <c r="K248" s="2" t="s">
        <v>808</v>
      </c>
      <c r="L248" s="2" t="s">
        <v>809</v>
      </c>
    </row>
    <row r="249" ht="15.75" customHeight="1">
      <c r="A249" s="13">
        <v>45598.0</v>
      </c>
      <c r="B249" s="2" t="s">
        <v>34</v>
      </c>
      <c r="C249" s="2" t="str">
        <f t="shared" si="2"/>
        <v>Medellín</v>
      </c>
      <c r="D249" s="19" t="s">
        <v>2340</v>
      </c>
      <c r="E249" s="19" t="s">
        <v>2349</v>
      </c>
      <c r="F249" s="19" t="s">
        <v>2342</v>
      </c>
      <c r="G249" s="20">
        <v>1291.38</v>
      </c>
      <c r="H249" s="5">
        <v>4.0</v>
      </c>
      <c r="I249" s="20">
        <v>5165.52</v>
      </c>
      <c r="J249" s="2" t="s">
        <v>810</v>
      </c>
      <c r="K249" s="2" t="s">
        <v>811</v>
      </c>
      <c r="L249" s="2" t="s">
        <v>812</v>
      </c>
    </row>
    <row r="250" ht="15.75" customHeight="1">
      <c r="A250" s="13">
        <v>45598.0</v>
      </c>
      <c r="B250" s="3" t="s">
        <v>14</v>
      </c>
      <c r="C250" s="2" t="str">
        <f t="shared" si="2"/>
        <v>Bogotá</v>
      </c>
      <c r="D250" s="19" t="s">
        <v>2340</v>
      </c>
      <c r="E250" s="19" t="s">
        <v>2349</v>
      </c>
      <c r="F250" s="19" t="s">
        <v>2350</v>
      </c>
      <c r="G250" s="20">
        <v>1522.98</v>
      </c>
      <c r="H250" s="5">
        <v>1.0</v>
      </c>
      <c r="I250" s="20">
        <v>1522.98</v>
      </c>
      <c r="J250" s="2" t="s">
        <v>813</v>
      </c>
      <c r="K250" s="2" t="s">
        <v>814</v>
      </c>
      <c r="L250" s="2" t="s">
        <v>815</v>
      </c>
    </row>
    <row r="251" ht="15.75" customHeight="1">
      <c r="A251" s="13">
        <v>45598.0</v>
      </c>
      <c r="B251" s="2" t="s">
        <v>57</v>
      </c>
      <c r="C251" s="2" t="str">
        <f t="shared" si="2"/>
        <v>Guadalajara</v>
      </c>
      <c r="D251" s="19" t="s">
        <v>2343</v>
      </c>
      <c r="E251" s="19" t="s">
        <v>2353</v>
      </c>
      <c r="F251" s="19" t="s">
        <v>2350</v>
      </c>
      <c r="G251" s="20">
        <v>1688.92</v>
      </c>
      <c r="H251" s="5">
        <v>5.0</v>
      </c>
      <c r="I251" s="20">
        <v>8444.6</v>
      </c>
      <c r="J251" s="2" t="s">
        <v>816</v>
      </c>
      <c r="K251" s="2" t="s">
        <v>817</v>
      </c>
      <c r="L251" s="2" t="s">
        <v>818</v>
      </c>
    </row>
    <row r="252" ht="15.75" customHeight="1">
      <c r="A252" s="13">
        <v>45599.0</v>
      </c>
      <c r="B252" s="3" t="s">
        <v>9</v>
      </c>
      <c r="C252" s="2" t="str">
        <f t="shared" si="2"/>
        <v>Monterrey</v>
      </c>
      <c r="D252" s="19" t="s">
        <v>2351</v>
      </c>
      <c r="E252" s="19" t="s">
        <v>2352</v>
      </c>
      <c r="F252" s="19" t="s">
        <v>2345</v>
      </c>
      <c r="G252" s="20">
        <v>2157.37</v>
      </c>
      <c r="H252" s="5">
        <v>5.0</v>
      </c>
      <c r="I252" s="20">
        <v>10786.85</v>
      </c>
      <c r="J252" s="2" t="s">
        <v>819</v>
      </c>
      <c r="K252" s="2" t="s">
        <v>820</v>
      </c>
      <c r="L252" s="2" t="s">
        <v>821</v>
      </c>
    </row>
    <row r="253" ht="15.75" customHeight="1">
      <c r="A253" s="13">
        <v>45599.0</v>
      </c>
      <c r="B253" s="2" t="s">
        <v>57</v>
      </c>
      <c r="C253" s="2" t="str">
        <f t="shared" si="2"/>
        <v>Guadalajara</v>
      </c>
      <c r="D253" s="19" t="s">
        <v>2347</v>
      </c>
      <c r="E253" s="19" t="s">
        <v>2358</v>
      </c>
      <c r="F253" s="19" t="s">
        <v>2345</v>
      </c>
      <c r="G253" s="20">
        <v>642.49</v>
      </c>
      <c r="H253" s="5">
        <v>4.0</v>
      </c>
      <c r="I253" s="20">
        <v>2569.96</v>
      </c>
      <c r="J253" s="2" t="s">
        <v>822</v>
      </c>
      <c r="K253" s="2" t="s">
        <v>823</v>
      </c>
      <c r="L253" s="2" t="s">
        <v>824</v>
      </c>
    </row>
    <row r="254" ht="15.75" customHeight="1">
      <c r="A254" s="13">
        <v>45600.0</v>
      </c>
      <c r="B254" s="2" t="s">
        <v>34</v>
      </c>
      <c r="C254" s="2" t="str">
        <f t="shared" si="2"/>
        <v>Medellín</v>
      </c>
      <c r="D254" s="19" t="s">
        <v>2347</v>
      </c>
      <c r="E254" s="19" t="s">
        <v>2348</v>
      </c>
      <c r="F254" s="19" t="s">
        <v>2346</v>
      </c>
      <c r="G254" s="20">
        <v>2114.2</v>
      </c>
      <c r="H254" s="5">
        <v>5.0</v>
      </c>
      <c r="I254" s="20">
        <v>10571.0</v>
      </c>
      <c r="J254" s="2" t="s">
        <v>825</v>
      </c>
      <c r="K254" s="2" t="s">
        <v>826</v>
      </c>
      <c r="L254" s="2" t="s">
        <v>827</v>
      </c>
    </row>
    <row r="255" ht="15.75" customHeight="1">
      <c r="A255" s="13">
        <v>45600.0</v>
      </c>
      <c r="B255" s="3" t="s">
        <v>14</v>
      </c>
      <c r="C255" s="2" t="str">
        <f t="shared" si="2"/>
        <v>Bogotá</v>
      </c>
      <c r="D255" s="19" t="s">
        <v>2351</v>
      </c>
      <c r="E255" s="19" t="s">
        <v>2357</v>
      </c>
      <c r="F255" s="19" t="s">
        <v>2345</v>
      </c>
      <c r="G255" s="20">
        <v>1491.19</v>
      </c>
      <c r="H255" s="5">
        <v>5.0</v>
      </c>
      <c r="I255" s="20">
        <v>7455.95</v>
      </c>
      <c r="J255" s="2" t="s">
        <v>828</v>
      </c>
      <c r="K255" s="2" t="s">
        <v>829</v>
      </c>
      <c r="L255" s="2" t="s">
        <v>830</v>
      </c>
    </row>
    <row r="256" ht="15.75" customHeight="1">
      <c r="A256" s="13">
        <v>45600.0</v>
      </c>
      <c r="B256" s="2" t="s">
        <v>57</v>
      </c>
      <c r="C256" s="2" t="str">
        <f t="shared" si="2"/>
        <v>Guadalajara</v>
      </c>
      <c r="D256" s="19" t="s">
        <v>2340</v>
      </c>
      <c r="E256" s="19" t="s">
        <v>2349</v>
      </c>
      <c r="F256" s="19" t="s">
        <v>2342</v>
      </c>
      <c r="G256" s="20">
        <v>1849.07</v>
      </c>
      <c r="H256" s="5">
        <v>5.0</v>
      </c>
      <c r="I256" s="20">
        <v>9245.35</v>
      </c>
      <c r="J256" s="2" t="s">
        <v>831</v>
      </c>
      <c r="K256" s="2" t="s">
        <v>832</v>
      </c>
      <c r="L256" s="2" t="s">
        <v>833</v>
      </c>
    </row>
    <row r="257" ht="15.75" customHeight="1">
      <c r="A257" s="13">
        <v>45600.0</v>
      </c>
      <c r="B257" s="2" t="s">
        <v>34</v>
      </c>
      <c r="C257" s="2" t="str">
        <f t="shared" si="2"/>
        <v>Medellín</v>
      </c>
      <c r="D257" s="19" t="s">
        <v>2347</v>
      </c>
      <c r="E257" s="19" t="s">
        <v>2348</v>
      </c>
      <c r="F257" s="19" t="s">
        <v>2345</v>
      </c>
      <c r="G257" s="20">
        <v>1612.87</v>
      </c>
      <c r="H257" s="5">
        <v>4.0</v>
      </c>
      <c r="I257" s="20">
        <v>6451.48</v>
      </c>
      <c r="J257" s="2" t="s">
        <v>835</v>
      </c>
      <c r="K257" s="2" t="s">
        <v>836</v>
      </c>
      <c r="L257" s="2" t="s">
        <v>837</v>
      </c>
    </row>
    <row r="258" ht="15.75" customHeight="1">
      <c r="A258" s="13">
        <v>45601.0</v>
      </c>
      <c r="B258" s="3" t="s">
        <v>74</v>
      </c>
      <c r="C258" s="2" t="str">
        <f t="shared" si="2"/>
        <v>Cali</v>
      </c>
      <c r="D258" s="19" t="s">
        <v>2347</v>
      </c>
      <c r="E258" s="19" t="s">
        <v>2348</v>
      </c>
      <c r="F258" s="19" t="s">
        <v>2342</v>
      </c>
      <c r="G258" s="20">
        <v>670.67</v>
      </c>
      <c r="H258" s="5">
        <v>4.0</v>
      </c>
      <c r="I258" s="20">
        <v>2682.68</v>
      </c>
      <c r="J258" s="2" t="s">
        <v>838</v>
      </c>
      <c r="K258" s="2" t="s">
        <v>839</v>
      </c>
      <c r="L258" s="2" t="s">
        <v>840</v>
      </c>
    </row>
    <row r="259" ht="15.75" customHeight="1">
      <c r="A259" s="13">
        <v>45601.0</v>
      </c>
      <c r="B259" s="3" t="s">
        <v>29</v>
      </c>
      <c r="C259" s="2" t="str">
        <f t="shared" si="2"/>
        <v>Ciudad De Mexico</v>
      </c>
      <c r="D259" s="19" t="s">
        <v>2351</v>
      </c>
      <c r="E259" s="19" t="s">
        <v>2357</v>
      </c>
      <c r="F259" s="19" t="s">
        <v>2342</v>
      </c>
      <c r="G259" s="20">
        <v>1040.78</v>
      </c>
      <c r="H259" s="5">
        <v>2.0</v>
      </c>
      <c r="I259" s="20">
        <v>2081.56</v>
      </c>
      <c r="J259" s="2" t="s">
        <v>841</v>
      </c>
      <c r="K259" s="2" t="s">
        <v>842</v>
      </c>
      <c r="L259" s="2" t="s">
        <v>843</v>
      </c>
    </row>
    <row r="260" ht="15.75" customHeight="1">
      <c r="A260" s="13">
        <v>45601.0</v>
      </c>
      <c r="B260" s="3" t="s">
        <v>29</v>
      </c>
      <c r="C260" s="2" t="str">
        <f t="shared" si="2"/>
        <v>Ciudad De Mexico</v>
      </c>
      <c r="D260" s="19" t="s">
        <v>2343</v>
      </c>
      <c r="E260" s="19" t="s">
        <v>2360</v>
      </c>
      <c r="F260" s="19" t="s">
        <v>2342</v>
      </c>
      <c r="G260" s="20">
        <v>1050.44</v>
      </c>
      <c r="H260" s="5">
        <v>5.0</v>
      </c>
      <c r="I260" s="20">
        <v>5252.2</v>
      </c>
      <c r="J260" s="2" t="s">
        <v>844</v>
      </c>
      <c r="K260" s="2" t="s">
        <v>845</v>
      </c>
      <c r="L260" s="2" t="s">
        <v>846</v>
      </c>
    </row>
    <row r="261" ht="15.75" customHeight="1">
      <c r="A261" s="18">
        <v>45601.0</v>
      </c>
      <c r="B261" s="3" t="s">
        <v>87</v>
      </c>
      <c r="C261" s="2" t="str">
        <f t="shared" si="2"/>
        <v>Tulum</v>
      </c>
      <c r="D261" s="19" t="s">
        <v>2351</v>
      </c>
      <c r="E261" s="19" t="s">
        <v>2357</v>
      </c>
      <c r="F261" s="19" t="s">
        <v>2346</v>
      </c>
      <c r="G261" s="20">
        <v>808.32</v>
      </c>
      <c r="H261" s="5">
        <v>4.0</v>
      </c>
      <c r="I261" s="20">
        <v>3233.28</v>
      </c>
      <c r="J261" s="2" t="s">
        <v>847</v>
      </c>
      <c r="K261" s="2" t="s">
        <v>848</v>
      </c>
      <c r="L261" s="2" t="s">
        <v>849</v>
      </c>
    </row>
    <row r="262" ht="15.75" customHeight="1">
      <c r="A262" s="13">
        <v>45601.0</v>
      </c>
      <c r="B262" s="3" t="s">
        <v>29</v>
      </c>
      <c r="C262" s="2" t="str">
        <f t="shared" si="2"/>
        <v>Ciudad De Mexico</v>
      </c>
      <c r="D262" s="19" t="s">
        <v>2347</v>
      </c>
      <c r="E262" s="19" t="s">
        <v>2348</v>
      </c>
      <c r="F262" s="19" t="s">
        <v>2346</v>
      </c>
      <c r="G262" s="20">
        <v>2092.87</v>
      </c>
      <c r="H262" s="5">
        <v>4.0</v>
      </c>
      <c r="I262" s="20">
        <v>8371.48</v>
      </c>
      <c r="J262" s="2" t="s">
        <v>850</v>
      </c>
      <c r="K262" s="2" t="s">
        <v>851</v>
      </c>
      <c r="L262" s="2" t="s">
        <v>852</v>
      </c>
    </row>
    <row r="263" ht="15.75" customHeight="1">
      <c r="A263" s="13">
        <v>45601.0</v>
      </c>
      <c r="B263" s="2" t="s">
        <v>57</v>
      </c>
      <c r="C263" s="2" t="str">
        <f t="shared" si="2"/>
        <v>Guadalajara</v>
      </c>
      <c r="D263" s="19" t="s">
        <v>2347</v>
      </c>
      <c r="E263" s="19" t="s">
        <v>2348</v>
      </c>
      <c r="F263" s="19" t="s">
        <v>2346</v>
      </c>
      <c r="G263" s="20">
        <v>1826.03</v>
      </c>
      <c r="H263" s="5">
        <v>2.0</v>
      </c>
      <c r="I263" s="20">
        <v>3652.06</v>
      </c>
      <c r="J263" s="2" t="s">
        <v>853</v>
      </c>
      <c r="K263" s="2" t="s">
        <v>854</v>
      </c>
      <c r="L263" s="2" t="s">
        <v>855</v>
      </c>
    </row>
    <row r="264" ht="15.75" customHeight="1">
      <c r="A264" s="13">
        <v>45602.0</v>
      </c>
      <c r="B264" s="3" t="s">
        <v>14</v>
      </c>
      <c r="C264" s="2" t="str">
        <f t="shared" si="2"/>
        <v>Bogotá</v>
      </c>
      <c r="D264" s="19" t="s">
        <v>2351</v>
      </c>
      <c r="E264" s="19" t="s">
        <v>2352</v>
      </c>
      <c r="F264" s="19" t="s">
        <v>2350</v>
      </c>
      <c r="G264" s="20">
        <v>1945.67</v>
      </c>
      <c r="H264" s="5">
        <v>4.0</v>
      </c>
      <c r="I264" s="20">
        <v>7782.68</v>
      </c>
      <c r="J264" s="2" t="s">
        <v>856</v>
      </c>
      <c r="K264" s="2" t="s">
        <v>857</v>
      </c>
      <c r="L264" s="2" t="s">
        <v>858</v>
      </c>
    </row>
    <row r="265" ht="15.75" customHeight="1">
      <c r="A265" s="13">
        <v>45602.0</v>
      </c>
      <c r="B265" s="2" t="s">
        <v>34</v>
      </c>
      <c r="C265" s="2" t="str">
        <f t="shared" si="2"/>
        <v>Medellín</v>
      </c>
      <c r="D265" s="19" t="s">
        <v>2347</v>
      </c>
      <c r="E265" s="19" t="s">
        <v>2348</v>
      </c>
      <c r="F265" s="19" t="s">
        <v>2350</v>
      </c>
      <c r="G265" s="20">
        <v>949.27</v>
      </c>
      <c r="H265" s="5">
        <v>2.0</v>
      </c>
      <c r="I265" s="20">
        <v>1898.54</v>
      </c>
      <c r="J265" s="2" t="s">
        <v>859</v>
      </c>
      <c r="K265" s="2" t="s">
        <v>860</v>
      </c>
      <c r="L265" s="2" t="s">
        <v>861</v>
      </c>
    </row>
    <row r="266" ht="15.75" customHeight="1">
      <c r="A266" s="13">
        <v>45603.0</v>
      </c>
      <c r="B266" s="3" t="s">
        <v>29</v>
      </c>
      <c r="C266" s="2" t="str">
        <f t="shared" si="2"/>
        <v>Ciudad De Mexico</v>
      </c>
      <c r="D266" s="19" t="s">
        <v>2340</v>
      </c>
      <c r="E266" s="19" t="s">
        <v>2341</v>
      </c>
      <c r="F266" s="19" t="s">
        <v>2350</v>
      </c>
      <c r="G266" s="20">
        <v>127.95</v>
      </c>
      <c r="H266" s="5">
        <v>4.0</v>
      </c>
      <c r="I266" s="20">
        <v>511.8</v>
      </c>
      <c r="J266" s="2" t="s">
        <v>862</v>
      </c>
      <c r="K266" s="2" t="s">
        <v>863</v>
      </c>
      <c r="L266" s="2" t="s">
        <v>864</v>
      </c>
    </row>
    <row r="267" ht="15.75" customHeight="1">
      <c r="A267" s="13">
        <v>45603.0</v>
      </c>
      <c r="B267" s="3" t="s">
        <v>74</v>
      </c>
      <c r="C267" s="2" t="str">
        <f t="shared" si="2"/>
        <v>Cali</v>
      </c>
      <c r="D267" s="19" t="s">
        <v>2343</v>
      </c>
      <c r="E267" s="19" t="s">
        <v>2360</v>
      </c>
      <c r="F267" s="19" t="s">
        <v>2345</v>
      </c>
      <c r="G267" s="20">
        <v>371.34</v>
      </c>
      <c r="H267" s="5">
        <v>3.0</v>
      </c>
      <c r="I267" s="20">
        <v>1114.02</v>
      </c>
      <c r="J267" s="2" t="s">
        <v>865</v>
      </c>
      <c r="K267" s="2" t="s">
        <v>866</v>
      </c>
      <c r="L267" s="2" t="s">
        <v>867</v>
      </c>
    </row>
    <row r="268" ht="15.75" customHeight="1">
      <c r="A268" s="13">
        <v>45603.0</v>
      </c>
      <c r="B268" s="2" t="s">
        <v>34</v>
      </c>
      <c r="C268" s="2" t="str">
        <f t="shared" si="2"/>
        <v>Medellín</v>
      </c>
      <c r="D268" s="19" t="s">
        <v>2340</v>
      </c>
      <c r="E268" s="19" t="s">
        <v>2355</v>
      </c>
      <c r="F268" s="19" t="s">
        <v>2342</v>
      </c>
      <c r="G268" s="20">
        <v>700.01</v>
      </c>
      <c r="H268" s="5">
        <v>3.0</v>
      </c>
      <c r="I268" s="20">
        <v>2100.03</v>
      </c>
      <c r="J268" s="2" t="s">
        <v>868</v>
      </c>
      <c r="K268" s="2" t="s">
        <v>869</v>
      </c>
      <c r="L268" s="2" t="s">
        <v>870</v>
      </c>
    </row>
    <row r="269" ht="15.75" customHeight="1">
      <c r="A269" s="13">
        <v>45603.0</v>
      </c>
      <c r="B269" s="3" t="s">
        <v>74</v>
      </c>
      <c r="C269" s="2" t="str">
        <f t="shared" si="2"/>
        <v>Cali</v>
      </c>
      <c r="D269" s="19" t="s">
        <v>2343</v>
      </c>
      <c r="E269" s="19" t="s">
        <v>2360</v>
      </c>
      <c r="F269" s="19" t="s">
        <v>2350</v>
      </c>
      <c r="G269" s="20">
        <v>2242.24</v>
      </c>
      <c r="H269" s="5">
        <v>1.0</v>
      </c>
      <c r="I269" s="20">
        <v>2242.24</v>
      </c>
      <c r="J269" s="2" t="s">
        <v>871</v>
      </c>
      <c r="K269" s="2" t="s">
        <v>872</v>
      </c>
      <c r="L269" s="2" t="s">
        <v>873</v>
      </c>
    </row>
    <row r="270" ht="15.75" customHeight="1">
      <c r="A270" s="18">
        <v>45603.0</v>
      </c>
      <c r="B270" s="3" t="s">
        <v>14</v>
      </c>
      <c r="C270" s="2" t="str">
        <f t="shared" si="2"/>
        <v>Bogotá</v>
      </c>
      <c r="D270" s="19" t="s">
        <v>2340</v>
      </c>
      <c r="E270" s="19" t="s">
        <v>2349</v>
      </c>
      <c r="F270" s="19" t="s">
        <v>2342</v>
      </c>
      <c r="G270" s="20">
        <v>1912.83</v>
      </c>
      <c r="H270" s="5">
        <v>2.0</v>
      </c>
      <c r="I270" s="20">
        <v>3825.66</v>
      </c>
      <c r="J270" s="2" t="s">
        <v>874</v>
      </c>
      <c r="K270" s="2" t="s">
        <v>875</v>
      </c>
      <c r="L270" s="2" t="s">
        <v>876</v>
      </c>
    </row>
    <row r="271" ht="15.75" customHeight="1">
      <c r="A271" s="18">
        <v>45603.0</v>
      </c>
      <c r="B271" s="3" t="s">
        <v>9</v>
      </c>
      <c r="C271" s="2" t="str">
        <f t="shared" si="2"/>
        <v>Monterrey</v>
      </c>
      <c r="D271" s="19" t="s">
        <v>2347</v>
      </c>
      <c r="E271" s="19" t="s">
        <v>2348</v>
      </c>
      <c r="F271" s="19" t="s">
        <v>2342</v>
      </c>
      <c r="G271" s="20">
        <v>634.44</v>
      </c>
      <c r="H271" s="5">
        <v>4.0</v>
      </c>
      <c r="I271" s="20">
        <v>2537.76</v>
      </c>
      <c r="J271" s="2" t="s">
        <v>877</v>
      </c>
      <c r="K271" s="2" t="s">
        <v>878</v>
      </c>
      <c r="L271" s="2" t="s">
        <v>879</v>
      </c>
    </row>
    <row r="272" ht="15.75" customHeight="1">
      <c r="A272" s="18">
        <v>45603.0</v>
      </c>
      <c r="B272" s="2" t="s">
        <v>34</v>
      </c>
      <c r="C272" s="2" t="str">
        <f t="shared" si="2"/>
        <v>Medellín</v>
      </c>
      <c r="D272" s="19" t="s">
        <v>2343</v>
      </c>
      <c r="E272" s="19" t="s">
        <v>2353</v>
      </c>
      <c r="F272" s="19" t="s">
        <v>2342</v>
      </c>
      <c r="G272" s="20">
        <v>1270.75</v>
      </c>
      <c r="H272" s="5">
        <v>5.0</v>
      </c>
      <c r="I272" s="20">
        <v>6353.75</v>
      </c>
      <c r="J272" s="2" t="s">
        <v>880</v>
      </c>
      <c r="K272" s="2" t="s">
        <v>881</v>
      </c>
      <c r="L272" s="2" t="s">
        <v>882</v>
      </c>
    </row>
    <row r="273" ht="15.75" customHeight="1">
      <c r="A273" s="13">
        <v>45603.0</v>
      </c>
      <c r="B273" s="3" t="s">
        <v>14</v>
      </c>
      <c r="C273" s="2" t="str">
        <f t="shared" si="2"/>
        <v>Bogotá</v>
      </c>
      <c r="D273" s="19" t="s">
        <v>2343</v>
      </c>
      <c r="E273" s="19" t="s">
        <v>2353</v>
      </c>
      <c r="F273" s="19" t="s">
        <v>2350</v>
      </c>
      <c r="G273" s="20">
        <v>841.48</v>
      </c>
      <c r="H273" s="5">
        <v>2.0</v>
      </c>
      <c r="I273" s="20">
        <v>1682.96</v>
      </c>
      <c r="J273" s="2" t="s">
        <v>883</v>
      </c>
      <c r="K273" s="2" t="s">
        <v>884</v>
      </c>
      <c r="L273" s="2" t="s">
        <v>885</v>
      </c>
    </row>
    <row r="274" ht="15.75" customHeight="1">
      <c r="A274" s="13">
        <v>45604.0</v>
      </c>
      <c r="B274" s="2" t="s">
        <v>34</v>
      </c>
      <c r="C274" s="2" t="str">
        <f t="shared" si="2"/>
        <v>Medellín</v>
      </c>
      <c r="D274" s="19" t="s">
        <v>2351</v>
      </c>
      <c r="E274" s="19" t="s">
        <v>2352</v>
      </c>
      <c r="F274" s="19" t="s">
        <v>2342</v>
      </c>
      <c r="G274" s="20">
        <v>1656.59</v>
      </c>
      <c r="H274" s="5">
        <v>1.0</v>
      </c>
      <c r="I274" s="20">
        <v>1656.59</v>
      </c>
      <c r="J274" s="2" t="s">
        <v>886</v>
      </c>
      <c r="K274" s="2" t="s">
        <v>887</v>
      </c>
      <c r="L274" s="2" t="s">
        <v>888</v>
      </c>
    </row>
    <row r="275" ht="15.75" customHeight="1">
      <c r="A275" s="13">
        <v>45604.0</v>
      </c>
      <c r="B275" s="3" t="s">
        <v>74</v>
      </c>
      <c r="C275" s="2" t="str">
        <f t="shared" si="2"/>
        <v>Cali</v>
      </c>
      <c r="D275" s="19" t="s">
        <v>2347</v>
      </c>
      <c r="E275" s="19" t="s">
        <v>2356</v>
      </c>
      <c r="F275" s="19" t="s">
        <v>2350</v>
      </c>
      <c r="G275" s="20">
        <v>762.46</v>
      </c>
      <c r="H275" s="5">
        <v>1.0</v>
      </c>
      <c r="I275" s="20">
        <v>762.46</v>
      </c>
      <c r="J275" s="2" t="s">
        <v>889</v>
      </c>
      <c r="K275" s="2" t="s">
        <v>890</v>
      </c>
      <c r="L275" s="2" t="s">
        <v>891</v>
      </c>
    </row>
    <row r="276" ht="15.75" customHeight="1">
      <c r="A276" s="13">
        <v>45604.0</v>
      </c>
      <c r="B276" s="3" t="s">
        <v>9</v>
      </c>
      <c r="C276" s="2" t="str">
        <f t="shared" si="2"/>
        <v>Monterrey</v>
      </c>
      <c r="D276" s="19" t="s">
        <v>2343</v>
      </c>
      <c r="E276" s="19" t="s">
        <v>2360</v>
      </c>
      <c r="F276" s="19" t="s">
        <v>2350</v>
      </c>
      <c r="G276" s="20">
        <v>1662.81</v>
      </c>
      <c r="H276" s="5">
        <v>5.0</v>
      </c>
      <c r="I276" s="20">
        <v>8314.05</v>
      </c>
      <c r="J276" s="2" t="s">
        <v>892</v>
      </c>
      <c r="K276" s="2" t="s">
        <v>893</v>
      </c>
      <c r="L276" s="2" t="s">
        <v>894</v>
      </c>
    </row>
    <row r="277" ht="15.75" customHeight="1">
      <c r="A277" s="13">
        <v>45604.0</v>
      </c>
      <c r="B277" s="2" t="s">
        <v>34</v>
      </c>
      <c r="C277" s="2" t="str">
        <f t="shared" si="2"/>
        <v>Medellín</v>
      </c>
      <c r="D277" s="19" t="s">
        <v>2347</v>
      </c>
      <c r="E277" s="19" t="s">
        <v>2358</v>
      </c>
      <c r="F277" s="19" t="s">
        <v>2345</v>
      </c>
      <c r="G277" s="20">
        <v>427.92</v>
      </c>
      <c r="H277" s="5">
        <v>2.0</v>
      </c>
      <c r="I277" s="20">
        <v>855.84</v>
      </c>
      <c r="J277" s="3" t="s">
        <v>895</v>
      </c>
      <c r="K277" s="2" t="s">
        <v>896</v>
      </c>
      <c r="L277" s="2" t="s">
        <v>897</v>
      </c>
    </row>
    <row r="278" ht="15.75" customHeight="1">
      <c r="A278" s="13">
        <v>45605.0</v>
      </c>
      <c r="B278" s="3" t="s">
        <v>29</v>
      </c>
      <c r="C278" s="2" t="str">
        <f t="shared" si="2"/>
        <v>Ciudad De Mexico</v>
      </c>
      <c r="D278" s="19" t="s">
        <v>2340</v>
      </c>
      <c r="E278" s="19" t="s">
        <v>2349</v>
      </c>
      <c r="F278" s="19" t="s">
        <v>2346</v>
      </c>
      <c r="G278" s="20">
        <v>271.11</v>
      </c>
      <c r="H278" s="5">
        <v>2.0</v>
      </c>
      <c r="I278" s="20">
        <v>542.22</v>
      </c>
      <c r="J278" s="2" t="s">
        <v>898</v>
      </c>
      <c r="K278" s="2" t="s">
        <v>899</v>
      </c>
      <c r="L278" s="2" t="s">
        <v>900</v>
      </c>
    </row>
    <row r="279" ht="15.75" customHeight="1">
      <c r="A279" s="13">
        <v>45605.0</v>
      </c>
      <c r="B279" s="2" t="s">
        <v>34</v>
      </c>
      <c r="C279" s="2" t="str">
        <f t="shared" si="2"/>
        <v>Medellín</v>
      </c>
      <c r="D279" s="19" t="s">
        <v>2343</v>
      </c>
      <c r="E279" s="19" t="s">
        <v>2360</v>
      </c>
      <c r="F279" s="19" t="s">
        <v>2350</v>
      </c>
      <c r="G279" s="20">
        <v>1112.81</v>
      </c>
      <c r="H279" s="5">
        <v>1.0</v>
      </c>
      <c r="I279" s="20">
        <v>1112.81</v>
      </c>
      <c r="J279" s="2" t="s">
        <v>901</v>
      </c>
      <c r="K279" s="2" t="s">
        <v>902</v>
      </c>
      <c r="L279" s="2" t="s">
        <v>903</v>
      </c>
    </row>
    <row r="280" ht="15.75" customHeight="1">
      <c r="A280" s="13">
        <v>45605.0</v>
      </c>
      <c r="B280" s="2" t="s">
        <v>34</v>
      </c>
      <c r="C280" s="2" t="str">
        <f t="shared" si="2"/>
        <v>Medellín</v>
      </c>
      <c r="D280" s="19" t="s">
        <v>2347</v>
      </c>
      <c r="E280" s="19" t="s">
        <v>2348</v>
      </c>
      <c r="F280" s="19" t="s">
        <v>2345</v>
      </c>
      <c r="G280" s="20">
        <v>720.63</v>
      </c>
      <c r="H280" s="5">
        <v>1.0</v>
      </c>
      <c r="I280" s="20">
        <v>720.63</v>
      </c>
      <c r="J280" s="2" t="s">
        <v>904</v>
      </c>
      <c r="K280" s="2" t="s">
        <v>905</v>
      </c>
      <c r="L280" s="2" t="s">
        <v>906</v>
      </c>
    </row>
    <row r="281" ht="15.75" customHeight="1">
      <c r="A281" s="13">
        <v>45605.0</v>
      </c>
      <c r="B281" s="3" t="s">
        <v>87</v>
      </c>
      <c r="C281" s="2" t="str">
        <f t="shared" si="2"/>
        <v>Tulum</v>
      </c>
      <c r="D281" s="19" t="s">
        <v>2343</v>
      </c>
      <c r="E281" s="19" t="s">
        <v>2360</v>
      </c>
      <c r="F281" s="19" t="s">
        <v>2350</v>
      </c>
      <c r="G281" s="20">
        <v>1111.98</v>
      </c>
      <c r="H281" s="5">
        <v>4.0</v>
      </c>
      <c r="I281" s="20">
        <v>4447.92</v>
      </c>
      <c r="J281" s="2" t="s">
        <v>907</v>
      </c>
      <c r="K281" s="2" t="s">
        <v>908</v>
      </c>
      <c r="L281" s="2" t="s">
        <v>909</v>
      </c>
    </row>
    <row r="282" ht="15.75" customHeight="1">
      <c r="A282" s="13">
        <v>45606.0</v>
      </c>
      <c r="B282" s="2" t="s">
        <v>34</v>
      </c>
      <c r="C282" s="2" t="str">
        <f t="shared" si="2"/>
        <v>Medellín</v>
      </c>
      <c r="D282" s="19" t="s">
        <v>2347</v>
      </c>
      <c r="E282" s="19" t="s">
        <v>2358</v>
      </c>
      <c r="F282" s="19" t="s">
        <v>2342</v>
      </c>
      <c r="G282" s="20">
        <v>763.62</v>
      </c>
      <c r="H282" s="5">
        <v>1.0</v>
      </c>
      <c r="I282" s="20">
        <v>763.62</v>
      </c>
      <c r="J282" s="2" t="s">
        <v>910</v>
      </c>
      <c r="K282" s="2" t="s">
        <v>911</v>
      </c>
      <c r="L282" s="2" t="s">
        <v>912</v>
      </c>
    </row>
    <row r="283" ht="15.75" customHeight="1">
      <c r="A283" s="13">
        <v>45606.0</v>
      </c>
      <c r="B283" s="3" t="s">
        <v>29</v>
      </c>
      <c r="C283" s="2" t="str">
        <f t="shared" si="2"/>
        <v>Ciudad De Mexico</v>
      </c>
      <c r="D283" s="19" t="s">
        <v>2343</v>
      </c>
      <c r="E283" s="19" t="s">
        <v>2360</v>
      </c>
      <c r="F283" s="19" t="s">
        <v>2350</v>
      </c>
      <c r="G283" s="20">
        <v>489.42</v>
      </c>
      <c r="H283" s="5">
        <v>3.0</v>
      </c>
      <c r="I283" s="20">
        <v>1468.26</v>
      </c>
      <c r="J283" s="2" t="s">
        <v>913</v>
      </c>
      <c r="K283" s="2" t="s">
        <v>914</v>
      </c>
      <c r="L283" s="7" t="s">
        <v>915</v>
      </c>
    </row>
    <row r="284" ht="15.75" customHeight="1">
      <c r="A284" s="13">
        <v>45606.0</v>
      </c>
      <c r="B284" s="2" t="s">
        <v>57</v>
      </c>
      <c r="C284" s="2" t="str">
        <f t="shared" si="2"/>
        <v>Guadalajara</v>
      </c>
      <c r="D284" s="19" t="s">
        <v>2347</v>
      </c>
      <c r="E284" s="19" t="s">
        <v>2356</v>
      </c>
      <c r="F284" s="19" t="s">
        <v>2346</v>
      </c>
      <c r="G284" s="20">
        <v>2356.5</v>
      </c>
      <c r="H284" s="5">
        <v>5.0</v>
      </c>
      <c r="I284" s="20">
        <v>11782.5</v>
      </c>
      <c r="J284" s="2" t="s">
        <v>916</v>
      </c>
      <c r="K284" s="2" t="s">
        <v>917</v>
      </c>
      <c r="L284" s="2" t="s">
        <v>918</v>
      </c>
    </row>
    <row r="285" ht="15.75" customHeight="1">
      <c r="A285" s="13">
        <v>45606.0</v>
      </c>
      <c r="B285" s="3" t="s">
        <v>9</v>
      </c>
      <c r="C285" s="2" t="str">
        <f t="shared" si="2"/>
        <v>Monterrey</v>
      </c>
      <c r="D285" s="19" t="s">
        <v>2340</v>
      </c>
      <c r="E285" s="19" t="s">
        <v>2349</v>
      </c>
      <c r="F285" s="19" t="s">
        <v>2342</v>
      </c>
      <c r="G285" s="20">
        <v>56.71</v>
      </c>
      <c r="H285" s="5">
        <v>1.0</v>
      </c>
      <c r="I285" s="20">
        <v>56.71</v>
      </c>
      <c r="J285" s="2" t="s">
        <v>919</v>
      </c>
      <c r="K285" s="2" t="s">
        <v>920</v>
      </c>
      <c r="L285" s="2" t="s">
        <v>921</v>
      </c>
    </row>
    <row r="286" ht="15.75" customHeight="1">
      <c r="A286" s="13">
        <v>45606.0</v>
      </c>
      <c r="B286" s="3" t="s">
        <v>14</v>
      </c>
      <c r="C286" s="2" t="str">
        <f t="shared" si="2"/>
        <v>Bogotá</v>
      </c>
      <c r="D286" s="19" t="s">
        <v>2340</v>
      </c>
      <c r="E286" s="19" t="s">
        <v>2341</v>
      </c>
      <c r="F286" s="19" t="s">
        <v>2342</v>
      </c>
      <c r="G286" s="20">
        <v>853.52</v>
      </c>
      <c r="H286" s="5">
        <v>5.0</v>
      </c>
      <c r="I286" s="20">
        <v>4267.6</v>
      </c>
      <c r="J286" s="2" t="s">
        <v>922</v>
      </c>
      <c r="K286" s="2" t="s">
        <v>923</v>
      </c>
      <c r="L286" s="2" t="s">
        <v>924</v>
      </c>
    </row>
    <row r="287" ht="15.75" customHeight="1">
      <c r="A287" s="13">
        <v>45606.0</v>
      </c>
      <c r="B287" s="3" t="s">
        <v>9</v>
      </c>
      <c r="C287" s="2" t="str">
        <f t="shared" si="2"/>
        <v>Monterrey</v>
      </c>
      <c r="D287" s="19" t="s">
        <v>2351</v>
      </c>
      <c r="E287" s="19" t="s">
        <v>2354</v>
      </c>
      <c r="F287" s="19" t="s">
        <v>2345</v>
      </c>
      <c r="G287" s="20">
        <v>1668.3</v>
      </c>
      <c r="H287" s="5">
        <v>2.0</v>
      </c>
      <c r="I287" s="20">
        <v>3336.6</v>
      </c>
      <c r="J287" s="2" t="s">
        <v>925</v>
      </c>
      <c r="K287" s="2" t="s">
        <v>926</v>
      </c>
      <c r="L287" s="2" t="s">
        <v>927</v>
      </c>
    </row>
    <row r="288" ht="15.75" customHeight="1">
      <c r="A288" s="18">
        <v>45606.0</v>
      </c>
      <c r="B288" s="3" t="s">
        <v>9</v>
      </c>
      <c r="C288" s="2" t="str">
        <f t="shared" si="2"/>
        <v>Monterrey</v>
      </c>
      <c r="D288" s="19" t="s">
        <v>2343</v>
      </c>
      <c r="E288" s="19" t="s">
        <v>2344</v>
      </c>
      <c r="F288" s="19" t="s">
        <v>2345</v>
      </c>
      <c r="G288" s="20">
        <v>1585.75</v>
      </c>
      <c r="H288" s="5">
        <v>5.0</v>
      </c>
      <c r="I288" s="20">
        <v>7928.75</v>
      </c>
      <c r="J288" s="2" t="s">
        <v>928</v>
      </c>
      <c r="K288" s="2" t="s">
        <v>929</v>
      </c>
      <c r="L288" s="2" t="s">
        <v>930</v>
      </c>
    </row>
    <row r="289" ht="15.75" customHeight="1">
      <c r="A289" s="13">
        <v>45606.0</v>
      </c>
      <c r="B289" s="3" t="s">
        <v>9</v>
      </c>
      <c r="C289" s="2" t="str">
        <f t="shared" si="2"/>
        <v>Monterrey</v>
      </c>
      <c r="D289" s="19" t="s">
        <v>2351</v>
      </c>
      <c r="E289" s="19" t="s">
        <v>2357</v>
      </c>
      <c r="F289" s="19" t="s">
        <v>2350</v>
      </c>
      <c r="G289" s="20">
        <v>229.33</v>
      </c>
      <c r="H289" s="5">
        <v>4.0</v>
      </c>
      <c r="I289" s="20">
        <v>917.32</v>
      </c>
      <c r="J289" s="2" t="s">
        <v>931</v>
      </c>
      <c r="K289" s="2" t="s">
        <v>932</v>
      </c>
      <c r="L289" s="2" t="s">
        <v>933</v>
      </c>
    </row>
    <row r="290" ht="15.75" customHeight="1">
      <c r="A290" s="13">
        <v>45606.0</v>
      </c>
      <c r="B290" s="3" t="s">
        <v>14</v>
      </c>
      <c r="C290" s="2" t="str">
        <f t="shared" si="2"/>
        <v>Bogotá</v>
      </c>
      <c r="D290" s="19" t="s">
        <v>2343</v>
      </c>
      <c r="E290" s="19" t="s">
        <v>2353</v>
      </c>
      <c r="F290" s="19" t="s">
        <v>2346</v>
      </c>
      <c r="G290" s="20">
        <v>596.93</v>
      </c>
      <c r="H290" s="5">
        <v>5.0</v>
      </c>
      <c r="I290" s="20">
        <v>2984.65</v>
      </c>
      <c r="J290" s="2" t="s">
        <v>934</v>
      </c>
      <c r="K290" s="2" t="s">
        <v>935</v>
      </c>
      <c r="L290" s="2" t="s">
        <v>936</v>
      </c>
    </row>
    <row r="291" ht="15.75" customHeight="1">
      <c r="A291" s="13">
        <v>45606.0</v>
      </c>
      <c r="B291" s="3" t="s">
        <v>29</v>
      </c>
      <c r="C291" s="2" t="str">
        <f t="shared" si="2"/>
        <v>Ciudad De Mexico</v>
      </c>
      <c r="D291" s="19" t="s">
        <v>2347</v>
      </c>
      <c r="E291" s="19" t="s">
        <v>2348</v>
      </c>
      <c r="F291" s="19" t="s">
        <v>2350</v>
      </c>
      <c r="G291" s="20">
        <v>1650.53</v>
      </c>
      <c r="H291" s="5">
        <v>1.0</v>
      </c>
      <c r="I291" s="20">
        <v>1650.53</v>
      </c>
      <c r="J291" s="2" t="s">
        <v>937</v>
      </c>
      <c r="K291" s="2" t="s">
        <v>938</v>
      </c>
      <c r="L291" s="2" t="s">
        <v>939</v>
      </c>
    </row>
    <row r="292" ht="15.75" customHeight="1">
      <c r="A292" s="13">
        <v>45606.0</v>
      </c>
      <c r="B292" s="3" t="s">
        <v>74</v>
      </c>
      <c r="C292" s="2" t="str">
        <f t="shared" si="2"/>
        <v>Cali</v>
      </c>
      <c r="D292" s="19" t="s">
        <v>2347</v>
      </c>
      <c r="E292" s="19" t="s">
        <v>2358</v>
      </c>
      <c r="F292" s="19" t="s">
        <v>2346</v>
      </c>
      <c r="G292" s="20">
        <v>2114.99</v>
      </c>
      <c r="H292" s="5">
        <v>1.0</v>
      </c>
      <c r="I292" s="20">
        <v>2114.99</v>
      </c>
      <c r="J292" s="2" t="s">
        <v>940</v>
      </c>
      <c r="K292" s="2" t="s">
        <v>941</v>
      </c>
      <c r="L292" s="2" t="s">
        <v>942</v>
      </c>
    </row>
    <row r="293" ht="15.75" customHeight="1">
      <c r="A293" s="13">
        <v>45606.0</v>
      </c>
      <c r="B293" s="3" t="s">
        <v>29</v>
      </c>
      <c r="C293" s="2" t="str">
        <f t="shared" si="2"/>
        <v>Ciudad De Mexico</v>
      </c>
      <c r="D293" s="19" t="s">
        <v>2347</v>
      </c>
      <c r="E293" s="19" t="s">
        <v>2348</v>
      </c>
      <c r="F293" s="19" t="s">
        <v>2345</v>
      </c>
      <c r="G293" s="20">
        <v>169.2</v>
      </c>
      <c r="H293" s="5">
        <v>3.0</v>
      </c>
      <c r="I293" s="20">
        <v>507.6</v>
      </c>
      <c r="J293" s="2" t="s">
        <v>943</v>
      </c>
      <c r="K293" s="2" t="s">
        <v>944</v>
      </c>
      <c r="L293" s="2" t="s">
        <v>945</v>
      </c>
    </row>
    <row r="294" ht="15.75" customHeight="1">
      <c r="A294" s="13">
        <v>45606.0</v>
      </c>
      <c r="B294" s="3" t="s">
        <v>74</v>
      </c>
      <c r="C294" s="2" t="str">
        <f t="shared" si="2"/>
        <v>Cali</v>
      </c>
      <c r="D294" s="19" t="s">
        <v>2343</v>
      </c>
      <c r="E294" s="19" t="s">
        <v>2360</v>
      </c>
      <c r="F294" s="19" t="s">
        <v>2350</v>
      </c>
      <c r="G294" s="20">
        <v>1614.84</v>
      </c>
      <c r="H294" s="5">
        <v>3.0</v>
      </c>
      <c r="I294" s="20">
        <v>4844.52</v>
      </c>
      <c r="J294" s="2" t="s">
        <v>946</v>
      </c>
      <c r="K294" s="2" t="s">
        <v>947</v>
      </c>
      <c r="L294" s="2" t="s">
        <v>948</v>
      </c>
    </row>
    <row r="295" ht="15.75" customHeight="1">
      <c r="A295" s="13">
        <v>45606.0</v>
      </c>
      <c r="B295" s="3" t="s">
        <v>74</v>
      </c>
      <c r="C295" s="2" t="str">
        <f t="shared" si="2"/>
        <v>Cali</v>
      </c>
      <c r="D295" s="19" t="s">
        <v>2343</v>
      </c>
      <c r="E295" s="19" t="s">
        <v>2353</v>
      </c>
      <c r="F295" s="19" t="s">
        <v>2346</v>
      </c>
      <c r="G295" s="20">
        <v>360.98</v>
      </c>
      <c r="H295" s="5">
        <v>3.0</v>
      </c>
      <c r="I295" s="20">
        <v>1082.94</v>
      </c>
      <c r="J295" s="2" t="s">
        <v>949</v>
      </c>
      <c r="K295" s="2" t="s">
        <v>950</v>
      </c>
      <c r="L295" s="2" t="s">
        <v>951</v>
      </c>
    </row>
    <row r="296" ht="15.75" customHeight="1">
      <c r="A296" s="13">
        <v>45606.0</v>
      </c>
      <c r="B296" s="3" t="s">
        <v>9</v>
      </c>
      <c r="C296" s="2" t="str">
        <f t="shared" si="2"/>
        <v>Monterrey</v>
      </c>
      <c r="D296" s="19" t="s">
        <v>2340</v>
      </c>
      <c r="E296" s="19" t="s">
        <v>2341</v>
      </c>
      <c r="F296" s="19" t="s">
        <v>2342</v>
      </c>
      <c r="G296" s="20">
        <v>1447.41</v>
      </c>
      <c r="H296" s="5">
        <v>4.0</v>
      </c>
      <c r="I296" s="20">
        <v>5789.64</v>
      </c>
      <c r="J296" s="2" t="s">
        <v>952</v>
      </c>
      <c r="K296" s="2" t="s">
        <v>953</v>
      </c>
      <c r="L296" s="2" t="s">
        <v>954</v>
      </c>
    </row>
    <row r="297" ht="15.75" customHeight="1">
      <c r="A297" s="13">
        <v>45606.0</v>
      </c>
      <c r="B297" s="2" t="s">
        <v>34</v>
      </c>
      <c r="C297" s="2" t="str">
        <f t="shared" si="2"/>
        <v>Medellín</v>
      </c>
      <c r="D297" s="19" t="s">
        <v>2343</v>
      </c>
      <c r="E297" s="19" t="s">
        <v>2344</v>
      </c>
      <c r="F297" s="19" t="s">
        <v>2345</v>
      </c>
      <c r="G297" s="20">
        <v>1746.28</v>
      </c>
      <c r="H297" s="5">
        <v>2.0</v>
      </c>
      <c r="I297" s="20">
        <v>3492.56</v>
      </c>
      <c r="J297" s="2" t="s">
        <v>955</v>
      </c>
      <c r="K297" s="2" t="s">
        <v>956</v>
      </c>
      <c r="L297" s="2" t="s">
        <v>957</v>
      </c>
    </row>
    <row r="298" ht="15.75" customHeight="1">
      <c r="A298" s="13">
        <v>45606.0</v>
      </c>
      <c r="B298" s="3" t="s">
        <v>87</v>
      </c>
      <c r="C298" s="2" t="str">
        <f t="shared" si="2"/>
        <v>Tulum</v>
      </c>
      <c r="D298" s="19" t="s">
        <v>2347</v>
      </c>
      <c r="E298" s="19" t="s">
        <v>2356</v>
      </c>
      <c r="F298" s="19" t="s">
        <v>2345</v>
      </c>
      <c r="G298" s="20">
        <v>2390.84</v>
      </c>
      <c r="H298" s="5">
        <v>5.0</v>
      </c>
      <c r="I298" s="20">
        <v>11954.2</v>
      </c>
      <c r="J298" s="2" t="s">
        <v>958</v>
      </c>
      <c r="K298" s="2" t="s">
        <v>959</v>
      </c>
      <c r="L298" s="2" t="s">
        <v>960</v>
      </c>
    </row>
    <row r="299" ht="15.75" customHeight="1">
      <c r="A299" s="13">
        <v>45606.0</v>
      </c>
      <c r="B299" s="2" t="s">
        <v>34</v>
      </c>
      <c r="C299" s="2" t="str">
        <f t="shared" si="2"/>
        <v>Medellín</v>
      </c>
      <c r="D299" s="19" t="s">
        <v>2347</v>
      </c>
      <c r="E299" s="19" t="s">
        <v>2356</v>
      </c>
      <c r="F299" s="19" t="s">
        <v>2350</v>
      </c>
      <c r="G299" s="20">
        <v>1415.48</v>
      </c>
      <c r="H299" s="5">
        <v>1.0</v>
      </c>
      <c r="I299" s="20">
        <v>1415.48</v>
      </c>
      <c r="J299" s="2" t="s">
        <v>961</v>
      </c>
      <c r="K299" s="2" t="s">
        <v>962</v>
      </c>
      <c r="L299" s="2" t="s">
        <v>963</v>
      </c>
    </row>
    <row r="300" ht="15.75" customHeight="1">
      <c r="A300" s="13">
        <v>45606.0</v>
      </c>
      <c r="B300" s="3" t="s">
        <v>9</v>
      </c>
      <c r="C300" s="2" t="str">
        <f t="shared" si="2"/>
        <v>Monterrey</v>
      </c>
      <c r="D300" s="19" t="s">
        <v>2340</v>
      </c>
      <c r="E300" s="19" t="s">
        <v>2349</v>
      </c>
      <c r="F300" s="19" t="s">
        <v>2346</v>
      </c>
      <c r="G300" s="20">
        <v>1384.09</v>
      </c>
      <c r="H300" s="5">
        <v>2.0</v>
      </c>
      <c r="I300" s="20">
        <v>2768.18</v>
      </c>
      <c r="J300" s="2" t="s">
        <v>964</v>
      </c>
      <c r="K300" s="2" t="s">
        <v>965</v>
      </c>
      <c r="L300" s="2" t="s">
        <v>966</v>
      </c>
    </row>
    <row r="301" ht="15.75" customHeight="1">
      <c r="A301" s="13">
        <v>45607.0</v>
      </c>
      <c r="B301" s="3" t="s">
        <v>74</v>
      </c>
      <c r="C301" s="2" t="str">
        <f t="shared" si="2"/>
        <v>Cali</v>
      </c>
      <c r="D301" s="19" t="s">
        <v>2351</v>
      </c>
      <c r="E301" s="19" t="s">
        <v>2354</v>
      </c>
      <c r="F301" s="19" t="s">
        <v>2346</v>
      </c>
      <c r="G301" s="20">
        <v>1933.07</v>
      </c>
      <c r="H301" s="5">
        <v>3.0</v>
      </c>
      <c r="I301" s="20">
        <v>5799.21</v>
      </c>
      <c r="J301" s="2" t="s">
        <v>967</v>
      </c>
      <c r="K301" s="2" t="s">
        <v>968</v>
      </c>
      <c r="L301" s="2" t="s">
        <v>969</v>
      </c>
    </row>
    <row r="302" ht="15.75" customHeight="1">
      <c r="A302" s="13">
        <v>45607.0</v>
      </c>
      <c r="B302" s="3" t="s">
        <v>14</v>
      </c>
      <c r="C302" s="2" t="str">
        <f t="shared" si="2"/>
        <v>Bogotá</v>
      </c>
      <c r="D302" s="19" t="s">
        <v>2351</v>
      </c>
      <c r="E302" s="19" t="s">
        <v>2352</v>
      </c>
      <c r="F302" s="19" t="s">
        <v>2345</v>
      </c>
      <c r="G302" s="20">
        <v>1492.73</v>
      </c>
      <c r="H302" s="5">
        <v>5.0</v>
      </c>
      <c r="I302" s="20">
        <v>7463.65</v>
      </c>
      <c r="J302" s="2" t="s">
        <v>970</v>
      </c>
      <c r="K302" s="2" t="s">
        <v>971</v>
      </c>
      <c r="L302" s="2" t="s">
        <v>972</v>
      </c>
    </row>
    <row r="303" ht="15.75" customHeight="1">
      <c r="A303" s="13">
        <v>45607.0</v>
      </c>
      <c r="B303" s="2" t="s">
        <v>114</v>
      </c>
      <c r="C303" s="2" t="str">
        <f t="shared" si="2"/>
        <v>Guadalajara</v>
      </c>
      <c r="D303" s="19" t="s">
        <v>2340</v>
      </c>
      <c r="E303" s="19" t="s">
        <v>2341</v>
      </c>
      <c r="F303" s="19" t="s">
        <v>2346</v>
      </c>
      <c r="G303" s="20">
        <v>1170.2</v>
      </c>
      <c r="H303" s="5">
        <v>1.0</v>
      </c>
      <c r="I303" s="20">
        <v>1170.2</v>
      </c>
      <c r="J303" s="2" t="s">
        <v>973</v>
      </c>
      <c r="K303" s="2" t="s">
        <v>974</v>
      </c>
      <c r="L303" s="2" t="s">
        <v>975</v>
      </c>
    </row>
    <row r="304" ht="15.75" customHeight="1">
      <c r="A304" s="13">
        <v>45607.0</v>
      </c>
      <c r="B304" s="3" t="s">
        <v>29</v>
      </c>
      <c r="C304" s="2" t="str">
        <f t="shared" si="2"/>
        <v>Ciudad De Mexico</v>
      </c>
      <c r="D304" s="19" t="s">
        <v>2351</v>
      </c>
      <c r="E304" s="19" t="s">
        <v>2354</v>
      </c>
      <c r="F304" s="19" t="s">
        <v>2346</v>
      </c>
      <c r="G304" s="20">
        <v>569.35</v>
      </c>
      <c r="H304" s="5">
        <v>4.0</v>
      </c>
      <c r="I304" s="20">
        <v>2277.4</v>
      </c>
      <c r="J304" s="2" t="s">
        <v>976</v>
      </c>
      <c r="K304" s="2" t="s">
        <v>977</v>
      </c>
      <c r="L304" s="2" t="s">
        <v>978</v>
      </c>
    </row>
    <row r="305" ht="15.75" customHeight="1">
      <c r="A305" s="13">
        <v>45607.0</v>
      </c>
      <c r="B305" s="3" t="s">
        <v>9</v>
      </c>
      <c r="C305" s="2" t="str">
        <f t="shared" si="2"/>
        <v>Monterrey</v>
      </c>
      <c r="D305" s="19" t="s">
        <v>2340</v>
      </c>
      <c r="E305" s="19" t="s">
        <v>2341</v>
      </c>
      <c r="F305" s="19" t="s">
        <v>2350</v>
      </c>
      <c r="G305" s="20">
        <v>664.19</v>
      </c>
      <c r="H305" s="5">
        <v>4.0</v>
      </c>
      <c r="I305" s="20">
        <v>2656.76</v>
      </c>
      <c r="J305" s="2" t="s">
        <v>979</v>
      </c>
      <c r="K305" s="2" t="s">
        <v>980</v>
      </c>
      <c r="L305" s="2" t="s">
        <v>981</v>
      </c>
    </row>
    <row r="306" ht="15.75" customHeight="1">
      <c r="A306" s="13">
        <v>45607.0</v>
      </c>
      <c r="B306" s="3" t="s">
        <v>14</v>
      </c>
      <c r="C306" s="2" t="str">
        <f t="shared" si="2"/>
        <v>Bogotá</v>
      </c>
      <c r="D306" s="19" t="s">
        <v>2351</v>
      </c>
      <c r="E306" s="19" t="s">
        <v>2352</v>
      </c>
      <c r="F306" s="19" t="s">
        <v>2342</v>
      </c>
      <c r="G306" s="20">
        <v>214.86</v>
      </c>
      <c r="H306" s="5">
        <v>5.0</v>
      </c>
      <c r="I306" s="20">
        <v>1074.3</v>
      </c>
      <c r="J306" s="2" t="s">
        <v>982</v>
      </c>
      <c r="K306" s="2" t="s">
        <v>983</v>
      </c>
      <c r="L306" s="2" t="s">
        <v>984</v>
      </c>
    </row>
    <row r="307" ht="15.75" customHeight="1">
      <c r="A307" s="13">
        <v>45607.0</v>
      </c>
      <c r="B307" s="2" t="s">
        <v>34</v>
      </c>
      <c r="C307" s="2" t="str">
        <f t="shared" si="2"/>
        <v>Medellín</v>
      </c>
      <c r="D307" s="19" t="s">
        <v>2340</v>
      </c>
      <c r="E307" s="19" t="s">
        <v>2355</v>
      </c>
      <c r="F307" s="19" t="s">
        <v>2346</v>
      </c>
      <c r="G307" s="20">
        <v>499.69</v>
      </c>
      <c r="H307" s="5">
        <v>1.0</v>
      </c>
      <c r="I307" s="20">
        <v>499.69</v>
      </c>
      <c r="J307" s="2" t="s">
        <v>985</v>
      </c>
      <c r="K307" s="2" t="s">
        <v>986</v>
      </c>
      <c r="L307" s="2" t="s">
        <v>987</v>
      </c>
    </row>
    <row r="308" ht="15.75" customHeight="1">
      <c r="A308" s="13">
        <v>45607.0</v>
      </c>
      <c r="B308" s="3" t="s">
        <v>9</v>
      </c>
      <c r="C308" s="2" t="str">
        <f t="shared" si="2"/>
        <v>Monterrey</v>
      </c>
      <c r="D308" s="19" t="s">
        <v>2340</v>
      </c>
      <c r="E308" s="19" t="s">
        <v>2355</v>
      </c>
      <c r="F308" s="19" t="s">
        <v>2350</v>
      </c>
      <c r="G308" s="20">
        <v>2442.23</v>
      </c>
      <c r="H308" s="5">
        <v>4.0</v>
      </c>
      <c r="I308" s="20">
        <v>9768.92</v>
      </c>
      <c r="J308" s="2" t="s">
        <v>988</v>
      </c>
      <c r="K308" s="2" t="s">
        <v>989</v>
      </c>
      <c r="L308" s="2" t="s">
        <v>990</v>
      </c>
    </row>
    <row r="309" ht="15.75" customHeight="1">
      <c r="A309" s="13">
        <v>45607.0</v>
      </c>
      <c r="B309" s="3" t="s">
        <v>14</v>
      </c>
      <c r="C309" s="2" t="str">
        <f t="shared" si="2"/>
        <v>Bogotá</v>
      </c>
      <c r="D309" s="19" t="s">
        <v>2343</v>
      </c>
      <c r="E309" s="19" t="s">
        <v>2344</v>
      </c>
      <c r="F309" s="19" t="s">
        <v>2346</v>
      </c>
      <c r="G309" s="20">
        <v>2498.64</v>
      </c>
      <c r="H309" s="5">
        <v>2.0</v>
      </c>
      <c r="I309" s="20">
        <v>4997.28</v>
      </c>
      <c r="J309" s="2" t="s">
        <v>991</v>
      </c>
      <c r="K309" s="2" t="s">
        <v>992</v>
      </c>
      <c r="L309" s="2" t="s">
        <v>993</v>
      </c>
    </row>
    <row r="310" ht="15.75" customHeight="1">
      <c r="A310" s="13">
        <v>45608.0</v>
      </c>
      <c r="B310" s="3" t="s">
        <v>14</v>
      </c>
      <c r="C310" s="2" t="str">
        <f t="shared" si="2"/>
        <v>Bogotá</v>
      </c>
      <c r="D310" s="19" t="s">
        <v>2351</v>
      </c>
      <c r="E310" s="19" t="s">
        <v>2352</v>
      </c>
      <c r="F310" s="19" t="s">
        <v>2345</v>
      </c>
      <c r="G310" s="20">
        <v>2333.72</v>
      </c>
      <c r="H310" s="5">
        <v>2.0</v>
      </c>
      <c r="I310" s="20">
        <v>4667.44</v>
      </c>
      <c r="J310" s="2" t="s">
        <v>994</v>
      </c>
      <c r="K310" s="2" t="s">
        <v>995</v>
      </c>
      <c r="L310" s="2" t="s">
        <v>996</v>
      </c>
    </row>
    <row r="311" ht="15.75" customHeight="1">
      <c r="A311" s="13">
        <v>45608.0</v>
      </c>
      <c r="B311" s="2" t="s">
        <v>34</v>
      </c>
      <c r="C311" s="2" t="str">
        <f t="shared" si="2"/>
        <v>Medellín</v>
      </c>
      <c r="D311" s="19" t="s">
        <v>2343</v>
      </c>
      <c r="E311" s="19" t="s">
        <v>2344</v>
      </c>
      <c r="F311" s="19" t="s">
        <v>2345</v>
      </c>
      <c r="G311" s="20">
        <v>100.98</v>
      </c>
      <c r="H311" s="5">
        <v>3.0</v>
      </c>
      <c r="I311" s="20">
        <v>302.94</v>
      </c>
      <c r="J311" s="2" t="s">
        <v>997</v>
      </c>
      <c r="K311" s="2" t="s">
        <v>998</v>
      </c>
      <c r="L311" s="2" t="s">
        <v>999</v>
      </c>
    </row>
    <row r="312" ht="15.75" customHeight="1">
      <c r="A312" s="13">
        <v>45608.0</v>
      </c>
      <c r="B312" s="2" t="s">
        <v>57</v>
      </c>
      <c r="C312" s="2" t="str">
        <f t="shared" si="2"/>
        <v>Guadalajara</v>
      </c>
      <c r="D312" s="19" t="s">
        <v>2340</v>
      </c>
      <c r="E312" s="19" t="s">
        <v>2341</v>
      </c>
      <c r="F312" s="19" t="s">
        <v>2350</v>
      </c>
      <c r="G312" s="20">
        <v>2437.77</v>
      </c>
      <c r="H312" s="5">
        <v>2.0</v>
      </c>
      <c r="I312" s="20">
        <v>4875.54</v>
      </c>
      <c r="J312" s="2" t="s">
        <v>1000</v>
      </c>
      <c r="K312" s="2" t="s">
        <v>1001</v>
      </c>
      <c r="L312" s="2" t="s">
        <v>1002</v>
      </c>
    </row>
    <row r="313" ht="15.75" customHeight="1">
      <c r="A313" s="13">
        <v>45608.0</v>
      </c>
      <c r="B313" s="3" t="s">
        <v>74</v>
      </c>
      <c r="C313" s="2" t="str">
        <f t="shared" si="2"/>
        <v>Cali</v>
      </c>
      <c r="D313" s="19" t="s">
        <v>2347</v>
      </c>
      <c r="E313" s="19" t="s">
        <v>2356</v>
      </c>
      <c r="F313" s="19" t="s">
        <v>2345</v>
      </c>
      <c r="G313" s="20">
        <v>1281.78</v>
      </c>
      <c r="H313" s="5">
        <v>3.0</v>
      </c>
      <c r="I313" s="20">
        <v>3845.34</v>
      </c>
      <c r="J313" s="2" t="s">
        <v>1003</v>
      </c>
      <c r="K313" s="2" t="s">
        <v>1004</v>
      </c>
      <c r="L313" s="2" t="s">
        <v>1005</v>
      </c>
    </row>
    <row r="314" ht="15.75" customHeight="1">
      <c r="A314" s="13">
        <v>45608.0</v>
      </c>
      <c r="B314" s="3" t="s">
        <v>14</v>
      </c>
      <c r="C314" s="2" t="str">
        <f t="shared" si="2"/>
        <v>Bogotá</v>
      </c>
      <c r="D314" s="19" t="s">
        <v>2340</v>
      </c>
      <c r="E314" s="19" t="s">
        <v>2349</v>
      </c>
      <c r="F314" s="19" t="s">
        <v>2346</v>
      </c>
      <c r="G314" s="20">
        <v>2012.81</v>
      </c>
      <c r="H314" s="5">
        <v>4.0</v>
      </c>
      <c r="I314" s="20">
        <v>8051.24</v>
      </c>
      <c r="J314" s="2" t="s">
        <v>1006</v>
      </c>
      <c r="K314" s="2" t="s">
        <v>1007</v>
      </c>
      <c r="L314" s="2" t="s">
        <v>1008</v>
      </c>
    </row>
    <row r="315" ht="15.75" customHeight="1">
      <c r="A315" s="13">
        <v>45608.0</v>
      </c>
      <c r="B315" s="2" t="s">
        <v>57</v>
      </c>
      <c r="C315" s="2" t="str">
        <f t="shared" si="2"/>
        <v>Guadalajara</v>
      </c>
      <c r="D315" s="19" t="s">
        <v>2351</v>
      </c>
      <c r="E315" s="19" t="s">
        <v>2354</v>
      </c>
      <c r="F315" s="19" t="s">
        <v>2350</v>
      </c>
      <c r="G315" s="20">
        <v>1673.73</v>
      </c>
      <c r="H315" s="5">
        <v>1.0</v>
      </c>
      <c r="I315" s="20">
        <v>1673.73</v>
      </c>
      <c r="J315" s="2" t="s">
        <v>1009</v>
      </c>
      <c r="K315" s="2" t="s">
        <v>1010</v>
      </c>
      <c r="L315" s="2" t="s">
        <v>1011</v>
      </c>
    </row>
    <row r="316" ht="15.75" customHeight="1">
      <c r="A316" s="13">
        <v>45608.0</v>
      </c>
      <c r="B316" s="2" t="s">
        <v>34</v>
      </c>
      <c r="C316" s="2" t="str">
        <f t="shared" si="2"/>
        <v>Medellín</v>
      </c>
      <c r="D316" s="19" t="s">
        <v>2340</v>
      </c>
      <c r="E316" s="19" t="s">
        <v>2349</v>
      </c>
      <c r="F316" s="19" t="s">
        <v>2350</v>
      </c>
      <c r="G316" s="20">
        <v>1151.85</v>
      </c>
      <c r="H316" s="5">
        <v>5.0</v>
      </c>
      <c r="I316" s="20">
        <v>5759.25</v>
      </c>
      <c r="J316" s="2" t="s">
        <v>1012</v>
      </c>
      <c r="K316" s="2" t="s">
        <v>1013</v>
      </c>
      <c r="L316" s="2" t="s">
        <v>1014</v>
      </c>
    </row>
    <row r="317" ht="15.75" customHeight="1">
      <c r="A317" s="13">
        <v>45608.0</v>
      </c>
      <c r="B317" s="2" t="s">
        <v>57</v>
      </c>
      <c r="C317" s="2" t="str">
        <f t="shared" si="2"/>
        <v>Guadalajara</v>
      </c>
      <c r="D317" s="19" t="s">
        <v>2351</v>
      </c>
      <c r="E317" s="19" t="s">
        <v>2357</v>
      </c>
      <c r="F317" s="19" t="s">
        <v>2345</v>
      </c>
      <c r="G317" s="20">
        <v>1032.0</v>
      </c>
      <c r="H317" s="5">
        <v>4.0</v>
      </c>
      <c r="I317" s="20">
        <v>4128.0</v>
      </c>
      <c r="J317" s="2" t="s">
        <v>1015</v>
      </c>
      <c r="K317" s="2" t="s">
        <v>1016</v>
      </c>
      <c r="L317" s="2" t="s">
        <v>1017</v>
      </c>
    </row>
    <row r="318" ht="15.75" customHeight="1">
      <c r="A318" s="13">
        <v>45608.0</v>
      </c>
      <c r="B318" s="3" t="s">
        <v>74</v>
      </c>
      <c r="C318" s="2" t="str">
        <f t="shared" si="2"/>
        <v>Cali</v>
      </c>
      <c r="D318" s="19" t="s">
        <v>2340</v>
      </c>
      <c r="E318" s="19" t="s">
        <v>2349</v>
      </c>
      <c r="F318" s="19" t="s">
        <v>2350</v>
      </c>
      <c r="G318" s="16">
        <f>I318/H318</f>
        <v>1856.6</v>
      </c>
      <c r="H318" s="5">
        <v>2.0</v>
      </c>
      <c r="I318" s="20">
        <v>3713.2</v>
      </c>
      <c r="J318" s="2" t="s">
        <v>1018</v>
      </c>
      <c r="K318" s="2" t="s">
        <v>1019</v>
      </c>
      <c r="L318" s="2" t="s">
        <v>1020</v>
      </c>
    </row>
    <row r="319" ht="15.75" customHeight="1">
      <c r="A319" s="13">
        <v>45608.0</v>
      </c>
      <c r="B319" s="3" t="s">
        <v>9</v>
      </c>
      <c r="C319" s="2" t="str">
        <f t="shared" si="2"/>
        <v>Monterrey</v>
      </c>
      <c r="D319" s="19" t="s">
        <v>2343</v>
      </c>
      <c r="E319" s="19" t="s">
        <v>2353</v>
      </c>
      <c r="F319" s="19" t="s">
        <v>2346</v>
      </c>
      <c r="G319" s="20">
        <v>1383.94</v>
      </c>
      <c r="H319" s="5">
        <v>3.0</v>
      </c>
      <c r="I319" s="20">
        <v>4151.82</v>
      </c>
      <c r="J319" s="2" t="s">
        <v>1021</v>
      </c>
      <c r="K319" s="2" t="s">
        <v>1022</v>
      </c>
      <c r="L319" s="2" t="s">
        <v>1023</v>
      </c>
    </row>
    <row r="320" ht="15.75" customHeight="1">
      <c r="A320" s="13">
        <v>45608.0</v>
      </c>
      <c r="B320" s="2" t="s">
        <v>57</v>
      </c>
      <c r="C320" s="2" t="str">
        <f t="shared" si="2"/>
        <v>Guadalajara</v>
      </c>
      <c r="D320" s="19" t="s">
        <v>2340</v>
      </c>
      <c r="E320" s="19" t="s">
        <v>2355</v>
      </c>
      <c r="F320" s="19" t="s">
        <v>2346</v>
      </c>
      <c r="G320" s="20">
        <v>812.41</v>
      </c>
      <c r="H320" s="5">
        <v>5.0</v>
      </c>
      <c r="I320" s="20">
        <v>4062.05</v>
      </c>
      <c r="J320" s="2" t="s">
        <v>1024</v>
      </c>
      <c r="K320" s="2" t="s">
        <v>1025</v>
      </c>
      <c r="L320" s="2" t="s">
        <v>1026</v>
      </c>
    </row>
    <row r="321" ht="15.75" customHeight="1">
      <c r="A321" s="13">
        <v>45608.0</v>
      </c>
      <c r="B321" s="2" t="s">
        <v>57</v>
      </c>
      <c r="C321" s="2" t="str">
        <f t="shared" si="2"/>
        <v>Guadalajara</v>
      </c>
      <c r="D321" s="19" t="s">
        <v>2340</v>
      </c>
      <c r="E321" s="19" t="s">
        <v>2341</v>
      </c>
      <c r="F321" s="19" t="s">
        <v>2346</v>
      </c>
      <c r="G321" s="20">
        <v>424.12</v>
      </c>
      <c r="H321" s="5">
        <v>2.0</v>
      </c>
      <c r="I321" s="20">
        <v>848.24</v>
      </c>
      <c r="J321" s="2" t="s">
        <v>1027</v>
      </c>
      <c r="K321" s="2" t="s">
        <v>1028</v>
      </c>
      <c r="L321" s="2" t="s">
        <v>1029</v>
      </c>
    </row>
    <row r="322" ht="15.75" customHeight="1">
      <c r="A322" s="13">
        <v>45609.0</v>
      </c>
      <c r="B322" s="3" t="s">
        <v>14</v>
      </c>
      <c r="C322" s="2" t="str">
        <f t="shared" si="2"/>
        <v>Bogotá</v>
      </c>
      <c r="D322" s="19" t="s">
        <v>2343</v>
      </c>
      <c r="E322" s="19" t="s">
        <v>2353</v>
      </c>
      <c r="F322" s="19" t="s">
        <v>2350</v>
      </c>
      <c r="G322" s="16">
        <f>I322/H322</f>
        <v>1787.41</v>
      </c>
      <c r="H322" s="5">
        <v>1.0</v>
      </c>
      <c r="I322" s="20">
        <v>1787.41</v>
      </c>
      <c r="J322" s="2" t="s">
        <v>1030</v>
      </c>
      <c r="K322" s="2" t="s">
        <v>1031</v>
      </c>
      <c r="L322" s="2" t="s">
        <v>1032</v>
      </c>
    </row>
    <row r="323" ht="15.75" customHeight="1">
      <c r="A323" s="13">
        <v>45609.0</v>
      </c>
      <c r="B323" s="3" t="s">
        <v>9</v>
      </c>
      <c r="C323" s="2" t="str">
        <f t="shared" si="2"/>
        <v>Monterrey</v>
      </c>
      <c r="D323" s="19" t="s">
        <v>2340</v>
      </c>
      <c r="E323" s="19" t="s">
        <v>2355</v>
      </c>
      <c r="F323" s="19" t="s">
        <v>2342</v>
      </c>
      <c r="G323" s="20">
        <v>625.41</v>
      </c>
      <c r="H323" s="5">
        <v>2.0</v>
      </c>
      <c r="I323" s="20">
        <v>1250.82</v>
      </c>
      <c r="J323" s="2" t="s">
        <v>1033</v>
      </c>
      <c r="K323" s="2" t="s">
        <v>1034</v>
      </c>
      <c r="L323" s="2" t="s">
        <v>1035</v>
      </c>
    </row>
    <row r="324" ht="15.75" customHeight="1">
      <c r="A324" s="13">
        <v>45609.0</v>
      </c>
      <c r="B324" s="3" t="s">
        <v>29</v>
      </c>
      <c r="C324" s="2" t="str">
        <f t="shared" si="2"/>
        <v>Ciudad De Mexico</v>
      </c>
      <c r="D324" s="19" t="s">
        <v>2340</v>
      </c>
      <c r="E324" s="19" t="s">
        <v>2349</v>
      </c>
      <c r="F324" s="19" t="s">
        <v>2345</v>
      </c>
      <c r="G324" s="20">
        <v>2393.92</v>
      </c>
      <c r="H324" s="5">
        <v>3.0</v>
      </c>
      <c r="I324" s="20">
        <v>7181.76</v>
      </c>
      <c r="J324" s="2" t="s">
        <v>1036</v>
      </c>
      <c r="K324" s="2" t="s">
        <v>1037</v>
      </c>
      <c r="L324" s="2" t="s">
        <v>1038</v>
      </c>
    </row>
    <row r="325" ht="15.75" customHeight="1">
      <c r="A325" s="13">
        <v>45609.0</v>
      </c>
      <c r="B325" s="3" t="s">
        <v>9</v>
      </c>
      <c r="C325" s="2" t="str">
        <f t="shared" si="2"/>
        <v>Monterrey</v>
      </c>
      <c r="D325" s="19" t="s">
        <v>2343</v>
      </c>
      <c r="E325" s="19" t="s">
        <v>2344</v>
      </c>
      <c r="F325" s="19" t="s">
        <v>2345</v>
      </c>
      <c r="G325" s="20">
        <v>724.54</v>
      </c>
      <c r="H325" s="5">
        <v>5.0</v>
      </c>
      <c r="I325" s="20">
        <v>3622.7</v>
      </c>
      <c r="J325" s="2" t="s">
        <v>1039</v>
      </c>
      <c r="K325" s="2" t="s">
        <v>1040</v>
      </c>
      <c r="L325" s="2" t="s">
        <v>1041</v>
      </c>
    </row>
    <row r="326" ht="15.75" customHeight="1">
      <c r="A326" s="13">
        <v>45609.0</v>
      </c>
      <c r="B326" s="3" t="s">
        <v>29</v>
      </c>
      <c r="C326" s="2" t="str">
        <f t="shared" si="2"/>
        <v>Ciudad De Mexico</v>
      </c>
      <c r="D326" s="19" t="s">
        <v>2343</v>
      </c>
      <c r="E326" s="19" t="s">
        <v>2360</v>
      </c>
      <c r="F326" s="19" t="s">
        <v>2342</v>
      </c>
      <c r="G326" s="20">
        <v>1665.73</v>
      </c>
      <c r="H326" s="5">
        <v>2.0</v>
      </c>
      <c r="I326" s="20">
        <v>3331.46</v>
      </c>
      <c r="J326" s="2" t="s">
        <v>1042</v>
      </c>
      <c r="K326" s="2" t="s">
        <v>1043</v>
      </c>
      <c r="L326" s="2" t="s">
        <v>1044</v>
      </c>
    </row>
    <row r="327" ht="15.75" customHeight="1">
      <c r="A327" s="13">
        <v>45609.0</v>
      </c>
      <c r="B327" s="3" t="s">
        <v>14</v>
      </c>
      <c r="C327" s="2" t="str">
        <f t="shared" si="2"/>
        <v>Bogotá</v>
      </c>
      <c r="D327" s="19" t="s">
        <v>2340</v>
      </c>
      <c r="E327" s="19" t="s">
        <v>2355</v>
      </c>
      <c r="F327" s="19" t="s">
        <v>2350</v>
      </c>
      <c r="G327" s="20">
        <v>1373.32</v>
      </c>
      <c r="H327" s="5">
        <v>1.0</v>
      </c>
      <c r="I327" s="20">
        <v>1373.32</v>
      </c>
      <c r="J327" s="2" t="s">
        <v>1045</v>
      </c>
      <c r="K327" s="2" t="s">
        <v>1046</v>
      </c>
      <c r="L327" s="2" t="s">
        <v>1047</v>
      </c>
    </row>
    <row r="328" ht="15.75" customHeight="1">
      <c r="A328" s="13">
        <v>45609.0</v>
      </c>
      <c r="B328" s="2" t="s">
        <v>57</v>
      </c>
      <c r="C328" s="2" t="str">
        <f t="shared" si="2"/>
        <v>Guadalajara</v>
      </c>
      <c r="D328" s="19" t="s">
        <v>2343</v>
      </c>
      <c r="E328" s="19" t="s">
        <v>2359</v>
      </c>
      <c r="F328" s="19" t="s">
        <v>2346</v>
      </c>
      <c r="G328" s="20">
        <v>1899.66</v>
      </c>
      <c r="H328" s="5">
        <v>2.0</v>
      </c>
      <c r="I328" s="20">
        <v>3799.32</v>
      </c>
      <c r="J328" s="2" t="s">
        <v>1048</v>
      </c>
      <c r="K328" s="2" t="s">
        <v>1049</v>
      </c>
      <c r="L328" s="7" t="s">
        <v>1050</v>
      </c>
    </row>
    <row r="329" ht="15.75" customHeight="1">
      <c r="A329" s="13">
        <v>45609.0</v>
      </c>
      <c r="B329" s="3" t="s">
        <v>74</v>
      </c>
      <c r="C329" s="2" t="str">
        <f t="shared" si="2"/>
        <v>Cali</v>
      </c>
      <c r="D329" s="19" t="s">
        <v>2340</v>
      </c>
      <c r="E329" s="19" t="s">
        <v>2349</v>
      </c>
      <c r="F329" s="19" t="s">
        <v>2342</v>
      </c>
      <c r="G329" s="20">
        <v>1873.69</v>
      </c>
      <c r="H329" s="5">
        <v>2.0</v>
      </c>
      <c r="I329" s="20">
        <v>3747.38</v>
      </c>
      <c r="J329" s="2" t="s">
        <v>1051</v>
      </c>
      <c r="K329" s="2" t="s">
        <v>1052</v>
      </c>
      <c r="L329" s="2" t="s">
        <v>1053</v>
      </c>
    </row>
    <row r="330" ht="15.75" customHeight="1">
      <c r="A330" s="13">
        <v>45609.0</v>
      </c>
      <c r="B330" s="2" t="s">
        <v>57</v>
      </c>
      <c r="C330" s="2" t="str">
        <f t="shared" si="2"/>
        <v>Guadalajara</v>
      </c>
      <c r="D330" s="19" t="s">
        <v>2340</v>
      </c>
      <c r="E330" s="19" t="s">
        <v>2341</v>
      </c>
      <c r="F330" s="19" t="s">
        <v>2345</v>
      </c>
      <c r="G330" s="20">
        <v>181.51</v>
      </c>
      <c r="H330" s="5">
        <v>5.0</v>
      </c>
      <c r="I330" s="20">
        <v>907.55</v>
      </c>
      <c r="J330" s="2" t="s">
        <v>1054</v>
      </c>
      <c r="K330" s="2" t="s">
        <v>1055</v>
      </c>
      <c r="L330" s="2" t="s">
        <v>1056</v>
      </c>
    </row>
    <row r="331" ht="15.75" customHeight="1">
      <c r="A331" s="13">
        <v>45609.0</v>
      </c>
      <c r="B331" s="3" t="s">
        <v>14</v>
      </c>
      <c r="C331" s="2" t="str">
        <f t="shared" si="2"/>
        <v>Bogotá</v>
      </c>
      <c r="D331" s="19" t="s">
        <v>2343</v>
      </c>
      <c r="E331" s="19" t="s">
        <v>2353</v>
      </c>
      <c r="F331" s="19" t="s">
        <v>2345</v>
      </c>
      <c r="G331" s="20">
        <v>1029.22</v>
      </c>
      <c r="H331" s="5">
        <v>5.0</v>
      </c>
      <c r="I331" s="20">
        <v>5146.1</v>
      </c>
      <c r="J331" s="2" t="s">
        <v>1057</v>
      </c>
      <c r="K331" s="2" t="s">
        <v>1058</v>
      </c>
      <c r="L331" s="2" t="s">
        <v>1059</v>
      </c>
    </row>
    <row r="332" ht="15.75" customHeight="1">
      <c r="A332" s="13">
        <v>45609.0</v>
      </c>
      <c r="B332" s="2" t="s">
        <v>34</v>
      </c>
      <c r="C332" s="2" t="str">
        <f t="shared" si="2"/>
        <v>Medellín</v>
      </c>
      <c r="D332" s="19" t="s">
        <v>2347</v>
      </c>
      <c r="E332" s="19" t="s">
        <v>2348</v>
      </c>
      <c r="F332" s="19" t="s">
        <v>2350</v>
      </c>
      <c r="G332" s="20">
        <v>1177.91</v>
      </c>
      <c r="H332" s="5">
        <v>2.0</v>
      </c>
      <c r="I332" s="20">
        <v>2355.82</v>
      </c>
      <c r="J332" s="2" t="s">
        <v>1060</v>
      </c>
      <c r="K332" s="2" t="s">
        <v>1061</v>
      </c>
      <c r="L332" s="2" t="s">
        <v>1062</v>
      </c>
    </row>
    <row r="333" ht="15.75" customHeight="1">
      <c r="A333" s="13">
        <v>45610.0</v>
      </c>
      <c r="B333" s="3" t="s">
        <v>74</v>
      </c>
      <c r="C333" s="2" t="str">
        <f t="shared" si="2"/>
        <v>Cali</v>
      </c>
      <c r="D333" s="19" t="s">
        <v>2340</v>
      </c>
      <c r="E333" s="19" t="s">
        <v>2341</v>
      </c>
      <c r="F333" s="19" t="s">
        <v>2346</v>
      </c>
      <c r="G333" s="20">
        <v>1618.43</v>
      </c>
      <c r="H333" s="5">
        <v>3.0</v>
      </c>
      <c r="I333" s="20">
        <v>4855.29</v>
      </c>
      <c r="J333" s="2" t="s">
        <v>1063</v>
      </c>
      <c r="K333" s="2" t="s">
        <v>1064</v>
      </c>
      <c r="L333" s="2" t="s">
        <v>1065</v>
      </c>
    </row>
    <row r="334" ht="15.75" customHeight="1">
      <c r="A334" s="13">
        <v>45610.0</v>
      </c>
      <c r="B334" s="2" t="s">
        <v>57</v>
      </c>
      <c r="C334" s="2" t="str">
        <f t="shared" si="2"/>
        <v>Guadalajara</v>
      </c>
      <c r="D334" s="19" t="s">
        <v>2340</v>
      </c>
      <c r="E334" s="19" t="s">
        <v>2349</v>
      </c>
      <c r="F334" s="19" t="s">
        <v>2345</v>
      </c>
      <c r="G334" s="20">
        <v>2064.2</v>
      </c>
      <c r="H334" s="5">
        <v>1.0</v>
      </c>
      <c r="I334" s="20">
        <v>2064.2</v>
      </c>
      <c r="J334" s="2" t="s">
        <v>1066</v>
      </c>
      <c r="K334" s="2" t="s">
        <v>1067</v>
      </c>
      <c r="L334" s="2" t="s">
        <v>1068</v>
      </c>
    </row>
    <row r="335" ht="15.75" customHeight="1">
      <c r="A335" s="13">
        <v>45610.0</v>
      </c>
      <c r="B335" s="3" t="s">
        <v>29</v>
      </c>
      <c r="C335" s="2" t="str">
        <f t="shared" si="2"/>
        <v>Ciudad De Mexico</v>
      </c>
      <c r="D335" s="19" t="s">
        <v>2347</v>
      </c>
      <c r="E335" s="19" t="s">
        <v>2356</v>
      </c>
      <c r="F335" s="19" t="s">
        <v>2350</v>
      </c>
      <c r="G335" s="20">
        <v>1152.44</v>
      </c>
      <c r="H335" s="5">
        <v>5.0</v>
      </c>
      <c r="I335" s="20">
        <v>5762.2</v>
      </c>
      <c r="J335" s="2" t="s">
        <v>1069</v>
      </c>
      <c r="K335" s="2" t="s">
        <v>1070</v>
      </c>
      <c r="L335" s="2" t="s">
        <v>1071</v>
      </c>
    </row>
    <row r="336" ht="15.75" customHeight="1">
      <c r="A336" s="13">
        <v>45610.0</v>
      </c>
      <c r="B336" s="2" t="s">
        <v>57</v>
      </c>
      <c r="C336" s="2" t="str">
        <f t="shared" si="2"/>
        <v>Guadalajara</v>
      </c>
      <c r="D336" s="19" t="s">
        <v>2343</v>
      </c>
      <c r="E336" s="19" t="s">
        <v>2344</v>
      </c>
      <c r="F336" s="19" t="s">
        <v>2345</v>
      </c>
      <c r="G336" s="20">
        <v>1051.49</v>
      </c>
      <c r="H336" s="5">
        <v>3.0</v>
      </c>
      <c r="I336" s="20">
        <v>3154.47</v>
      </c>
      <c r="J336" s="2" t="s">
        <v>1072</v>
      </c>
      <c r="K336" s="2" t="s">
        <v>1073</v>
      </c>
      <c r="L336" s="2" t="s">
        <v>1074</v>
      </c>
    </row>
    <row r="337" ht="15.75" customHeight="1">
      <c r="A337" s="13">
        <v>45610.0</v>
      </c>
      <c r="B337" s="2" t="s">
        <v>57</v>
      </c>
      <c r="C337" s="2" t="str">
        <f t="shared" si="2"/>
        <v>Guadalajara</v>
      </c>
      <c r="D337" s="19" t="s">
        <v>2351</v>
      </c>
      <c r="E337" s="19" t="s">
        <v>2357</v>
      </c>
      <c r="F337" s="19" t="s">
        <v>2345</v>
      </c>
      <c r="G337" s="20">
        <v>446.49</v>
      </c>
      <c r="H337" s="5">
        <v>3.0</v>
      </c>
      <c r="I337" s="20">
        <v>1339.47</v>
      </c>
      <c r="J337" s="2" t="s">
        <v>1076</v>
      </c>
      <c r="K337" s="2" t="s">
        <v>1077</v>
      </c>
      <c r="L337" s="2" t="s">
        <v>1078</v>
      </c>
    </row>
    <row r="338" ht="15.75" customHeight="1">
      <c r="A338" s="13">
        <v>45610.0</v>
      </c>
      <c r="B338" s="2" t="s">
        <v>34</v>
      </c>
      <c r="C338" s="2" t="str">
        <f t="shared" si="2"/>
        <v>Medellín</v>
      </c>
      <c r="D338" s="19" t="s">
        <v>2347</v>
      </c>
      <c r="E338" s="19" t="s">
        <v>2358</v>
      </c>
      <c r="F338" s="19" t="s">
        <v>2345</v>
      </c>
      <c r="G338" s="20">
        <v>879.78</v>
      </c>
      <c r="H338" s="5">
        <v>1.0</v>
      </c>
      <c r="I338" s="20">
        <v>879.78</v>
      </c>
      <c r="J338" s="2" t="s">
        <v>1079</v>
      </c>
      <c r="K338" s="2" t="s">
        <v>1080</v>
      </c>
      <c r="L338" s="2" t="s">
        <v>1081</v>
      </c>
    </row>
    <row r="339" ht="15.75" customHeight="1">
      <c r="A339" s="13">
        <v>45610.0</v>
      </c>
      <c r="B339" s="2" t="s">
        <v>34</v>
      </c>
      <c r="C339" s="2" t="str">
        <f t="shared" si="2"/>
        <v>Medellín</v>
      </c>
      <c r="D339" s="19" t="s">
        <v>2340</v>
      </c>
      <c r="E339" s="19" t="s">
        <v>2341</v>
      </c>
      <c r="F339" s="19" t="s">
        <v>2342</v>
      </c>
      <c r="G339" s="20">
        <v>1001.15</v>
      </c>
      <c r="H339" s="5">
        <v>4.0</v>
      </c>
      <c r="I339" s="20">
        <v>4004.6</v>
      </c>
      <c r="J339" s="2" t="s">
        <v>1082</v>
      </c>
      <c r="K339" s="2" t="s">
        <v>1083</v>
      </c>
      <c r="L339" s="2" t="s">
        <v>1084</v>
      </c>
    </row>
    <row r="340" ht="15.75" customHeight="1">
      <c r="A340" s="13">
        <v>45610.0</v>
      </c>
      <c r="B340" s="3" t="s">
        <v>9</v>
      </c>
      <c r="C340" s="2" t="str">
        <f t="shared" si="2"/>
        <v>Monterrey</v>
      </c>
      <c r="D340" s="19" t="s">
        <v>2340</v>
      </c>
      <c r="E340" s="19" t="s">
        <v>2349</v>
      </c>
      <c r="F340" s="19" t="s">
        <v>2350</v>
      </c>
      <c r="G340" s="20">
        <v>2224.61</v>
      </c>
      <c r="H340" s="5">
        <v>4.0</v>
      </c>
      <c r="I340" s="20">
        <v>8898.44</v>
      </c>
      <c r="J340" s="2" t="s">
        <v>1085</v>
      </c>
      <c r="K340" s="2" t="s">
        <v>1086</v>
      </c>
      <c r="L340" s="2" t="s">
        <v>1087</v>
      </c>
    </row>
    <row r="341" ht="15.75" customHeight="1">
      <c r="A341" s="13">
        <v>45610.0</v>
      </c>
      <c r="B341" s="3" t="s">
        <v>14</v>
      </c>
      <c r="C341" s="2" t="str">
        <f t="shared" si="2"/>
        <v>Bogotá</v>
      </c>
      <c r="D341" s="19" t="s">
        <v>2340</v>
      </c>
      <c r="E341" s="19" t="s">
        <v>2349</v>
      </c>
      <c r="F341" s="19" t="s">
        <v>2342</v>
      </c>
      <c r="G341" s="20">
        <v>563.11</v>
      </c>
      <c r="H341" s="5">
        <v>1.0</v>
      </c>
      <c r="I341" s="20">
        <v>563.11</v>
      </c>
      <c r="J341" s="2" t="s">
        <v>1088</v>
      </c>
      <c r="K341" s="2" t="s">
        <v>1089</v>
      </c>
      <c r="L341" s="2" t="s">
        <v>1090</v>
      </c>
    </row>
    <row r="342" ht="15.75" customHeight="1">
      <c r="A342" s="13">
        <v>45610.0</v>
      </c>
      <c r="B342" s="2" t="s">
        <v>34</v>
      </c>
      <c r="C342" s="2" t="str">
        <f t="shared" si="2"/>
        <v>Medellín</v>
      </c>
      <c r="D342" s="19" t="s">
        <v>2351</v>
      </c>
      <c r="E342" s="19" t="s">
        <v>2354</v>
      </c>
      <c r="F342" s="19" t="s">
        <v>2342</v>
      </c>
      <c r="G342" s="20">
        <v>1165.81</v>
      </c>
      <c r="H342" s="5">
        <v>1.0</v>
      </c>
      <c r="I342" s="20">
        <v>1165.81</v>
      </c>
      <c r="J342" s="2" t="s">
        <v>1091</v>
      </c>
      <c r="K342" s="2" t="s">
        <v>1092</v>
      </c>
      <c r="L342" s="2" t="s">
        <v>1093</v>
      </c>
    </row>
    <row r="343" ht="15.75" customHeight="1">
      <c r="A343" s="13">
        <v>45610.0</v>
      </c>
      <c r="B343" s="3" t="s">
        <v>14</v>
      </c>
      <c r="C343" s="2" t="str">
        <f t="shared" si="2"/>
        <v>Bogotá</v>
      </c>
      <c r="D343" s="22" t="s">
        <v>2347</v>
      </c>
      <c r="E343" s="19" t="s">
        <v>2356</v>
      </c>
      <c r="F343" s="19" t="s">
        <v>2342</v>
      </c>
      <c r="G343" s="20">
        <v>718.69</v>
      </c>
      <c r="H343" s="5">
        <v>4.0</v>
      </c>
      <c r="I343" s="20">
        <v>2874.76</v>
      </c>
      <c r="J343" s="2" t="s">
        <v>1094</v>
      </c>
      <c r="K343" s="2" t="s">
        <v>1095</v>
      </c>
      <c r="L343" s="2" t="s">
        <v>1096</v>
      </c>
    </row>
    <row r="344" ht="15.75" customHeight="1">
      <c r="A344" s="13">
        <v>45610.0</v>
      </c>
      <c r="B344" s="3" t="s">
        <v>9</v>
      </c>
      <c r="C344" s="2" t="str">
        <f t="shared" si="2"/>
        <v>Monterrey</v>
      </c>
      <c r="D344" s="19" t="s">
        <v>2343</v>
      </c>
      <c r="E344" s="19" t="s">
        <v>2353</v>
      </c>
      <c r="F344" s="19" t="s">
        <v>2342</v>
      </c>
      <c r="G344" s="20">
        <v>2474.36</v>
      </c>
      <c r="H344" s="5">
        <v>2.0</v>
      </c>
      <c r="I344" s="20">
        <v>4948.72</v>
      </c>
      <c r="J344" s="2" t="s">
        <v>1098</v>
      </c>
      <c r="K344" s="2" t="s">
        <v>1099</v>
      </c>
      <c r="L344" s="2" t="s">
        <v>1100</v>
      </c>
    </row>
    <row r="345" ht="15.75" customHeight="1">
      <c r="A345" s="13">
        <v>45610.0</v>
      </c>
      <c r="B345" s="3" t="s">
        <v>74</v>
      </c>
      <c r="C345" s="2" t="str">
        <f t="shared" si="2"/>
        <v>Cali</v>
      </c>
      <c r="D345" s="19" t="s">
        <v>2340</v>
      </c>
      <c r="E345" s="19" t="s">
        <v>2355</v>
      </c>
      <c r="F345" s="19" t="s">
        <v>2350</v>
      </c>
      <c r="G345" s="20">
        <v>1876.88</v>
      </c>
      <c r="H345" s="5">
        <v>4.0</v>
      </c>
      <c r="I345" s="20">
        <v>7507.52</v>
      </c>
      <c r="J345" s="2" t="s">
        <v>1101</v>
      </c>
      <c r="K345" s="2" t="s">
        <v>1102</v>
      </c>
      <c r="L345" s="2" t="s">
        <v>1103</v>
      </c>
    </row>
    <row r="346" ht="15.75" customHeight="1">
      <c r="A346" s="13">
        <v>45611.0</v>
      </c>
      <c r="B346" s="2" t="s">
        <v>34</v>
      </c>
      <c r="C346" s="2" t="str">
        <f t="shared" si="2"/>
        <v>Medellín</v>
      </c>
      <c r="D346" s="19" t="s">
        <v>2340</v>
      </c>
      <c r="E346" s="19" t="s">
        <v>2349</v>
      </c>
      <c r="F346" s="19" t="s">
        <v>2342</v>
      </c>
      <c r="G346" s="20">
        <v>450.01</v>
      </c>
      <c r="H346" s="5">
        <v>4.0</v>
      </c>
      <c r="I346" s="20">
        <v>1800.04</v>
      </c>
      <c r="J346" s="2" t="s">
        <v>1104</v>
      </c>
      <c r="K346" s="2" t="s">
        <v>1105</v>
      </c>
      <c r="L346" s="2" t="s">
        <v>1106</v>
      </c>
    </row>
    <row r="347" ht="15.75" customHeight="1">
      <c r="A347" s="13">
        <v>45611.0</v>
      </c>
      <c r="B347" s="3" t="s">
        <v>29</v>
      </c>
      <c r="C347" s="2" t="str">
        <f t="shared" si="2"/>
        <v>Ciudad De Mexico</v>
      </c>
      <c r="D347" s="19" t="s">
        <v>2340</v>
      </c>
      <c r="E347" s="19" t="s">
        <v>2341</v>
      </c>
      <c r="F347" s="19" t="s">
        <v>2350</v>
      </c>
      <c r="G347" s="20">
        <v>1808.18</v>
      </c>
      <c r="H347" s="5">
        <v>5.0</v>
      </c>
      <c r="I347" s="20">
        <v>9040.9</v>
      </c>
      <c r="J347" s="2" t="s">
        <v>1107</v>
      </c>
      <c r="K347" s="2" t="s">
        <v>1108</v>
      </c>
      <c r="L347" s="2" t="s">
        <v>1109</v>
      </c>
    </row>
    <row r="348" ht="15.75" customHeight="1">
      <c r="A348" s="13">
        <v>45611.0</v>
      </c>
      <c r="B348" s="3" t="s">
        <v>74</v>
      </c>
      <c r="C348" s="2" t="str">
        <f t="shared" si="2"/>
        <v>Cali</v>
      </c>
      <c r="D348" s="19" t="s">
        <v>2340</v>
      </c>
      <c r="E348" s="19" t="s">
        <v>2355</v>
      </c>
      <c r="F348" s="19" t="s">
        <v>2350</v>
      </c>
      <c r="G348" s="20">
        <v>914.84</v>
      </c>
      <c r="H348" s="5">
        <v>4.0</v>
      </c>
      <c r="I348" s="20">
        <v>3659.36</v>
      </c>
      <c r="J348" s="2" t="s">
        <v>1110</v>
      </c>
      <c r="K348" s="2" t="s">
        <v>1111</v>
      </c>
      <c r="L348" s="7" t="s">
        <v>1112</v>
      </c>
    </row>
    <row r="349" ht="15.75" customHeight="1">
      <c r="A349" s="13">
        <v>45611.0</v>
      </c>
      <c r="B349" s="2" t="s">
        <v>57</v>
      </c>
      <c r="C349" s="2" t="str">
        <f t="shared" si="2"/>
        <v>Guadalajara</v>
      </c>
      <c r="D349" s="19" t="s">
        <v>2340</v>
      </c>
      <c r="E349" s="19" t="s">
        <v>2355</v>
      </c>
      <c r="F349" s="19" t="s">
        <v>2345</v>
      </c>
      <c r="G349" s="20">
        <v>210.37</v>
      </c>
      <c r="H349" s="5">
        <v>1.0</v>
      </c>
      <c r="I349" s="20">
        <v>210.37</v>
      </c>
      <c r="J349" s="2" t="s">
        <v>1113</v>
      </c>
      <c r="K349" s="2" t="s">
        <v>1114</v>
      </c>
      <c r="L349" s="2" t="s">
        <v>1115</v>
      </c>
    </row>
    <row r="350" ht="15.75" customHeight="1">
      <c r="A350" s="13">
        <v>45611.0</v>
      </c>
      <c r="B350" s="2" t="s">
        <v>34</v>
      </c>
      <c r="C350" s="2" t="str">
        <f t="shared" si="2"/>
        <v>Medellín</v>
      </c>
      <c r="D350" s="19" t="s">
        <v>2351</v>
      </c>
      <c r="E350" s="19" t="s">
        <v>2354</v>
      </c>
      <c r="F350" s="19" t="s">
        <v>2350</v>
      </c>
      <c r="G350" s="20">
        <v>1767.16</v>
      </c>
      <c r="H350" s="5">
        <v>1.0</v>
      </c>
      <c r="I350" s="20">
        <v>1767.16</v>
      </c>
      <c r="J350" s="2" t="s">
        <v>1116</v>
      </c>
      <c r="K350" s="2" t="s">
        <v>1117</v>
      </c>
      <c r="L350" s="2" t="s">
        <v>1118</v>
      </c>
    </row>
    <row r="351" ht="15.75" customHeight="1">
      <c r="A351" s="13">
        <v>45611.0</v>
      </c>
      <c r="B351" s="2" t="s">
        <v>57</v>
      </c>
      <c r="C351" s="2" t="str">
        <f t="shared" si="2"/>
        <v>Guadalajara</v>
      </c>
      <c r="D351" s="19" t="s">
        <v>2347</v>
      </c>
      <c r="E351" s="19" t="s">
        <v>2348</v>
      </c>
      <c r="F351" s="19" t="s">
        <v>2350</v>
      </c>
      <c r="G351" s="20">
        <v>1832.97</v>
      </c>
      <c r="H351" s="5">
        <v>2.0</v>
      </c>
      <c r="I351" s="20">
        <v>3665.94</v>
      </c>
      <c r="J351" s="2" t="s">
        <v>1119</v>
      </c>
      <c r="K351" s="2" t="s">
        <v>1120</v>
      </c>
      <c r="L351" s="2" t="s">
        <v>1121</v>
      </c>
    </row>
    <row r="352" ht="15.75" customHeight="1">
      <c r="A352" s="13">
        <v>45611.0</v>
      </c>
      <c r="B352" s="2" t="s">
        <v>57</v>
      </c>
      <c r="C352" s="2" t="str">
        <f t="shared" si="2"/>
        <v>Guadalajara</v>
      </c>
      <c r="D352" s="19" t="s">
        <v>2340</v>
      </c>
      <c r="E352" s="19" t="s">
        <v>2341</v>
      </c>
      <c r="F352" s="19" t="s">
        <v>2350</v>
      </c>
      <c r="G352" s="20">
        <v>1159.32</v>
      </c>
      <c r="H352" s="5">
        <v>5.0</v>
      </c>
      <c r="I352" s="20">
        <v>5796.6</v>
      </c>
      <c r="J352" s="2" t="s">
        <v>1122</v>
      </c>
      <c r="K352" s="2" t="s">
        <v>1123</v>
      </c>
      <c r="L352" s="2" t="s">
        <v>1124</v>
      </c>
    </row>
    <row r="353" ht="15.75" customHeight="1">
      <c r="A353" s="13">
        <v>45611.0</v>
      </c>
      <c r="B353" s="3" t="s">
        <v>14</v>
      </c>
      <c r="C353" s="2" t="str">
        <f t="shared" si="2"/>
        <v>Bogotá</v>
      </c>
      <c r="D353" s="22" t="s">
        <v>2347</v>
      </c>
      <c r="E353" s="19" t="s">
        <v>2356</v>
      </c>
      <c r="F353" s="19" t="s">
        <v>2342</v>
      </c>
      <c r="G353" s="20">
        <v>120.49</v>
      </c>
      <c r="H353" s="5">
        <v>3.0</v>
      </c>
      <c r="I353" s="20">
        <v>361.47</v>
      </c>
      <c r="J353" s="2" t="s">
        <v>1125</v>
      </c>
      <c r="K353" s="2" t="s">
        <v>1126</v>
      </c>
      <c r="L353" s="2" t="s">
        <v>1127</v>
      </c>
    </row>
    <row r="354" ht="15.75" customHeight="1">
      <c r="A354" s="13">
        <v>45611.0</v>
      </c>
      <c r="B354" s="3" t="s">
        <v>74</v>
      </c>
      <c r="C354" s="2" t="str">
        <f t="shared" si="2"/>
        <v>Cali</v>
      </c>
      <c r="D354" s="19" t="s">
        <v>2347</v>
      </c>
      <c r="E354" s="19" t="s">
        <v>2356</v>
      </c>
      <c r="F354" s="19" t="s">
        <v>2346</v>
      </c>
      <c r="G354" s="20">
        <v>84.76</v>
      </c>
      <c r="H354" s="5">
        <v>4.0</v>
      </c>
      <c r="I354" s="20">
        <v>339.04</v>
      </c>
      <c r="J354" s="2" t="s">
        <v>1128</v>
      </c>
      <c r="K354" s="2" t="s">
        <v>1129</v>
      </c>
      <c r="L354" s="2" t="s">
        <v>1130</v>
      </c>
    </row>
    <row r="355" ht="15.75" customHeight="1">
      <c r="A355" s="13">
        <v>45611.0</v>
      </c>
      <c r="B355" s="3" t="s">
        <v>14</v>
      </c>
      <c r="C355" s="2" t="str">
        <f t="shared" si="2"/>
        <v>Bogotá</v>
      </c>
      <c r="D355" s="19" t="s">
        <v>2351</v>
      </c>
      <c r="E355" s="19" t="s">
        <v>2352</v>
      </c>
      <c r="F355" s="19" t="s">
        <v>2345</v>
      </c>
      <c r="G355" s="20">
        <v>969.37</v>
      </c>
      <c r="H355" s="5">
        <v>3.0</v>
      </c>
      <c r="I355" s="20">
        <v>2908.11</v>
      </c>
      <c r="J355" s="2" t="s">
        <v>1131</v>
      </c>
      <c r="K355" s="2" t="s">
        <v>1132</v>
      </c>
      <c r="L355" s="2" t="s">
        <v>1133</v>
      </c>
    </row>
    <row r="356" ht="15.75" customHeight="1">
      <c r="A356" s="13">
        <v>45611.0</v>
      </c>
      <c r="B356" s="2" t="s">
        <v>57</v>
      </c>
      <c r="C356" s="2" t="str">
        <f t="shared" si="2"/>
        <v>Guadalajara</v>
      </c>
      <c r="D356" s="19" t="s">
        <v>2340</v>
      </c>
      <c r="E356" s="19" t="s">
        <v>2349</v>
      </c>
      <c r="F356" s="19" t="s">
        <v>2342</v>
      </c>
      <c r="G356" s="20">
        <v>1318.47</v>
      </c>
      <c r="H356" s="5">
        <v>1.0</v>
      </c>
      <c r="I356" s="20">
        <v>1318.47</v>
      </c>
      <c r="J356" s="3" t="s">
        <v>1134</v>
      </c>
      <c r="K356" s="2" t="s">
        <v>1135</v>
      </c>
      <c r="L356" s="2" t="s">
        <v>1136</v>
      </c>
    </row>
    <row r="357" ht="15.75" customHeight="1">
      <c r="A357" s="13">
        <v>45611.0</v>
      </c>
      <c r="B357" s="2" t="s">
        <v>57</v>
      </c>
      <c r="C357" s="2" t="str">
        <f t="shared" si="2"/>
        <v>Guadalajara</v>
      </c>
      <c r="D357" s="19" t="s">
        <v>2343</v>
      </c>
      <c r="E357" s="19" t="s">
        <v>2359</v>
      </c>
      <c r="F357" s="19" t="s">
        <v>2346</v>
      </c>
      <c r="G357" s="20">
        <v>1943.33</v>
      </c>
      <c r="H357" s="5">
        <v>1.0</v>
      </c>
      <c r="I357" s="20">
        <v>1943.33</v>
      </c>
      <c r="J357" s="2" t="s">
        <v>1137</v>
      </c>
      <c r="K357" s="2" t="s">
        <v>1138</v>
      </c>
      <c r="L357" s="2" t="s">
        <v>1139</v>
      </c>
    </row>
    <row r="358" ht="15.75" customHeight="1">
      <c r="A358" s="13">
        <v>45611.0</v>
      </c>
      <c r="B358" s="2" t="s">
        <v>34</v>
      </c>
      <c r="C358" s="2" t="str">
        <f t="shared" si="2"/>
        <v>Medellín</v>
      </c>
      <c r="D358" s="19" t="s">
        <v>2351</v>
      </c>
      <c r="E358" s="19" t="s">
        <v>2352</v>
      </c>
      <c r="F358" s="19" t="s">
        <v>2342</v>
      </c>
      <c r="G358" s="20">
        <v>2040.92</v>
      </c>
      <c r="H358" s="5">
        <v>1.0</v>
      </c>
      <c r="I358" s="20">
        <v>2040.92</v>
      </c>
      <c r="J358" s="2" t="s">
        <v>1140</v>
      </c>
      <c r="K358" s="2" t="s">
        <v>1141</v>
      </c>
      <c r="L358" s="2" t="s">
        <v>1142</v>
      </c>
    </row>
    <row r="359" ht="15.75" customHeight="1">
      <c r="A359" s="13">
        <v>45611.0</v>
      </c>
      <c r="B359" s="2" t="s">
        <v>57</v>
      </c>
      <c r="C359" s="2" t="str">
        <f t="shared" si="2"/>
        <v>Guadalajara</v>
      </c>
      <c r="D359" s="19" t="s">
        <v>2347</v>
      </c>
      <c r="E359" s="19" t="s">
        <v>2356</v>
      </c>
      <c r="F359" s="19" t="s">
        <v>2346</v>
      </c>
      <c r="G359" s="20">
        <v>1626.83</v>
      </c>
      <c r="H359" s="5">
        <v>1.0</v>
      </c>
      <c r="I359" s="20">
        <v>1626.83</v>
      </c>
      <c r="J359" s="2" t="s">
        <v>1143</v>
      </c>
      <c r="K359" s="2" t="s">
        <v>1144</v>
      </c>
      <c r="L359" s="7" t="s">
        <v>1145</v>
      </c>
    </row>
    <row r="360" ht="15.75" customHeight="1">
      <c r="A360" s="13">
        <v>45612.0</v>
      </c>
      <c r="B360" s="3" t="s">
        <v>29</v>
      </c>
      <c r="C360" s="2" t="str">
        <f t="shared" si="2"/>
        <v>Ciudad De Mexico</v>
      </c>
      <c r="D360" s="19" t="s">
        <v>2340</v>
      </c>
      <c r="E360" s="19" t="s">
        <v>2341</v>
      </c>
      <c r="F360" s="19" t="s">
        <v>2350</v>
      </c>
      <c r="G360" s="20">
        <v>1137.01</v>
      </c>
      <c r="H360" s="5">
        <v>3.0</v>
      </c>
      <c r="I360" s="20">
        <v>3411.03</v>
      </c>
      <c r="J360" s="2" t="s">
        <v>1146</v>
      </c>
      <c r="K360" s="2" t="s">
        <v>1147</v>
      </c>
      <c r="L360" s="2" t="s">
        <v>1148</v>
      </c>
    </row>
    <row r="361" ht="15.75" customHeight="1">
      <c r="A361" s="13">
        <v>45612.0</v>
      </c>
      <c r="B361" s="3" t="s">
        <v>74</v>
      </c>
      <c r="C361" s="2" t="str">
        <f t="shared" si="2"/>
        <v>Cali</v>
      </c>
      <c r="D361" s="19" t="s">
        <v>2347</v>
      </c>
      <c r="E361" s="19" t="s">
        <v>2348</v>
      </c>
      <c r="F361" s="19" t="s">
        <v>2342</v>
      </c>
      <c r="G361" s="20">
        <v>1216.59</v>
      </c>
      <c r="H361" s="5">
        <v>3.0</v>
      </c>
      <c r="I361" s="20">
        <v>3649.77</v>
      </c>
      <c r="J361" s="2" t="s">
        <v>1149</v>
      </c>
      <c r="K361" s="2" t="s">
        <v>1150</v>
      </c>
      <c r="L361" s="2" t="s">
        <v>1151</v>
      </c>
    </row>
    <row r="362" ht="15.75" customHeight="1">
      <c r="A362" s="13">
        <v>45612.0</v>
      </c>
      <c r="B362" s="3" t="s">
        <v>14</v>
      </c>
      <c r="C362" s="2" t="str">
        <f t="shared" si="2"/>
        <v>Bogotá</v>
      </c>
      <c r="D362" s="19" t="s">
        <v>2351</v>
      </c>
      <c r="E362" s="19" t="s">
        <v>2352</v>
      </c>
      <c r="F362" s="19" t="s">
        <v>2346</v>
      </c>
      <c r="G362" s="20">
        <v>1141.88</v>
      </c>
      <c r="H362" s="5">
        <v>5.0</v>
      </c>
      <c r="I362" s="20">
        <v>5709.4</v>
      </c>
      <c r="J362" s="2" t="s">
        <v>1152</v>
      </c>
      <c r="K362" s="2" t="s">
        <v>1153</v>
      </c>
      <c r="L362" s="2" t="s">
        <v>1154</v>
      </c>
    </row>
    <row r="363" ht="15.75" customHeight="1">
      <c r="A363" s="13">
        <v>45612.0</v>
      </c>
      <c r="B363" s="3" t="s">
        <v>9</v>
      </c>
      <c r="C363" s="2" t="str">
        <f t="shared" si="2"/>
        <v>Monterrey</v>
      </c>
      <c r="D363" s="19" t="s">
        <v>2351</v>
      </c>
      <c r="E363" s="19" t="s">
        <v>2352</v>
      </c>
      <c r="F363" s="19" t="s">
        <v>2345</v>
      </c>
      <c r="G363" s="20">
        <v>416.81</v>
      </c>
      <c r="H363" s="5">
        <v>2.0</v>
      </c>
      <c r="I363" s="20">
        <v>833.62</v>
      </c>
      <c r="J363" s="2" t="s">
        <v>1155</v>
      </c>
      <c r="K363" s="2" t="s">
        <v>1156</v>
      </c>
      <c r="L363" s="2" t="s">
        <v>1157</v>
      </c>
    </row>
    <row r="364" ht="15.75" customHeight="1">
      <c r="A364" s="13">
        <v>45612.0</v>
      </c>
      <c r="B364" s="3" t="s">
        <v>9</v>
      </c>
      <c r="C364" s="2" t="str">
        <f t="shared" si="2"/>
        <v>Monterrey</v>
      </c>
      <c r="D364" s="19" t="s">
        <v>2343</v>
      </c>
      <c r="E364" s="19" t="s">
        <v>2344</v>
      </c>
      <c r="F364" s="19" t="s">
        <v>2345</v>
      </c>
      <c r="G364" s="20">
        <v>347.49</v>
      </c>
      <c r="H364" s="5">
        <v>5.0</v>
      </c>
      <c r="I364" s="20">
        <v>1737.45</v>
      </c>
      <c r="J364" s="2" t="s">
        <v>1158</v>
      </c>
      <c r="K364" s="2" t="s">
        <v>1159</v>
      </c>
      <c r="L364" s="2" t="s">
        <v>1160</v>
      </c>
    </row>
    <row r="365" ht="15.75" customHeight="1">
      <c r="A365" s="13">
        <v>45612.0</v>
      </c>
      <c r="B365" s="2" t="s">
        <v>57</v>
      </c>
      <c r="C365" s="2" t="str">
        <f t="shared" si="2"/>
        <v>Guadalajara</v>
      </c>
      <c r="D365" s="19" t="s">
        <v>2351</v>
      </c>
      <c r="E365" s="19" t="s">
        <v>2354</v>
      </c>
      <c r="F365" s="19" t="s">
        <v>2346</v>
      </c>
      <c r="G365" s="20">
        <v>1346.1</v>
      </c>
      <c r="H365" s="5">
        <v>1.0</v>
      </c>
      <c r="I365" s="20">
        <v>1346.1</v>
      </c>
      <c r="J365" s="2" t="s">
        <v>1161</v>
      </c>
      <c r="K365" s="2" t="s">
        <v>1162</v>
      </c>
      <c r="L365" s="2" t="s">
        <v>1163</v>
      </c>
    </row>
    <row r="366" ht="15.75" customHeight="1">
      <c r="A366" s="13">
        <v>45612.0</v>
      </c>
      <c r="B366" s="2" t="s">
        <v>57</v>
      </c>
      <c r="C366" s="2" t="str">
        <f t="shared" si="2"/>
        <v>Guadalajara</v>
      </c>
      <c r="D366" s="19" t="s">
        <v>2351</v>
      </c>
      <c r="E366" s="19" t="s">
        <v>2354</v>
      </c>
      <c r="F366" s="19" t="s">
        <v>2345</v>
      </c>
      <c r="G366" s="20">
        <v>1101.82</v>
      </c>
      <c r="H366" s="5">
        <v>5.0</v>
      </c>
      <c r="I366" s="20">
        <v>5509.1</v>
      </c>
      <c r="J366" s="2" t="s">
        <v>1164</v>
      </c>
      <c r="K366" s="2" t="s">
        <v>1165</v>
      </c>
      <c r="L366" s="2" t="s">
        <v>1166</v>
      </c>
    </row>
    <row r="367" ht="15.75" customHeight="1">
      <c r="A367" s="13">
        <v>45612.0</v>
      </c>
      <c r="B367" s="2" t="s">
        <v>57</v>
      </c>
      <c r="C367" s="2" t="str">
        <f t="shared" si="2"/>
        <v>Guadalajara</v>
      </c>
      <c r="D367" s="19" t="s">
        <v>2340</v>
      </c>
      <c r="E367" s="19" t="s">
        <v>2355</v>
      </c>
      <c r="F367" s="19" t="s">
        <v>2350</v>
      </c>
      <c r="G367" s="20">
        <v>1843.37</v>
      </c>
      <c r="H367" s="5">
        <v>3.0</v>
      </c>
      <c r="I367" s="20">
        <v>5530.11</v>
      </c>
      <c r="J367" s="2" t="s">
        <v>1167</v>
      </c>
      <c r="K367" s="2" t="s">
        <v>1168</v>
      </c>
      <c r="L367" s="2" t="s">
        <v>1169</v>
      </c>
    </row>
    <row r="368" ht="15.75" customHeight="1">
      <c r="A368" s="13">
        <v>45612.0</v>
      </c>
      <c r="B368" s="3" t="s">
        <v>74</v>
      </c>
      <c r="C368" s="2" t="str">
        <f t="shared" si="2"/>
        <v>Cali</v>
      </c>
      <c r="D368" s="19" t="s">
        <v>2343</v>
      </c>
      <c r="E368" s="19" t="s">
        <v>2360</v>
      </c>
      <c r="F368" s="19" t="s">
        <v>2350</v>
      </c>
      <c r="G368" s="20">
        <v>627.26</v>
      </c>
      <c r="H368" s="5">
        <v>1.0</v>
      </c>
      <c r="I368" s="20">
        <v>627.26</v>
      </c>
      <c r="J368" s="2" t="s">
        <v>1170</v>
      </c>
      <c r="K368" s="2" t="s">
        <v>1171</v>
      </c>
      <c r="L368" s="2" t="s">
        <v>1172</v>
      </c>
    </row>
    <row r="369" ht="15.75" customHeight="1">
      <c r="A369" s="13">
        <v>45612.0</v>
      </c>
      <c r="B369" s="3" t="s">
        <v>14</v>
      </c>
      <c r="C369" s="2" t="str">
        <f t="shared" si="2"/>
        <v>Bogotá</v>
      </c>
      <c r="D369" s="19" t="s">
        <v>2347</v>
      </c>
      <c r="E369" s="19" t="s">
        <v>2356</v>
      </c>
      <c r="F369" s="19" t="s">
        <v>2346</v>
      </c>
      <c r="G369" s="20">
        <v>1375.44</v>
      </c>
      <c r="H369" s="5">
        <v>4.0</v>
      </c>
      <c r="I369" s="20">
        <v>5501.76</v>
      </c>
      <c r="J369" s="2" t="s">
        <v>1173</v>
      </c>
      <c r="K369" s="2" t="s">
        <v>1174</v>
      </c>
      <c r="L369" s="2" t="s">
        <v>1175</v>
      </c>
    </row>
    <row r="370" ht="15.75" customHeight="1">
      <c r="A370" s="13">
        <v>45612.0</v>
      </c>
      <c r="B370" s="2" t="s">
        <v>57</v>
      </c>
      <c r="C370" s="2" t="str">
        <f t="shared" si="2"/>
        <v>Guadalajara</v>
      </c>
      <c r="D370" s="19" t="s">
        <v>2343</v>
      </c>
      <c r="E370" s="19" t="s">
        <v>2360</v>
      </c>
      <c r="F370" s="19" t="s">
        <v>2350</v>
      </c>
      <c r="G370" s="20">
        <v>1397.49</v>
      </c>
      <c r="H370" s="5">
        <v>3.0</v>
      </c>
      <c r="I370" s="20">
        <v>4192.47</v>
      </c>
      <c r="J370" s="2" t="s">
        <v>1176</v>
      </c>
      <c r="K370" s="2" t="s">
        <v>1177</v>
      </c>
      <c r="L370" s="2" t="s">
        <v>1178</v>
      </c>
    </row>
    <row r="371" ht="15.75" customHeight="1">
      <c r="A371" s="13">
        <v>45612.0</v>
      </c>
      <c r="B371" s="3" t="s">
        <v>9</v>
      </c>
      <c r="C371" s="2" t="str">
        <f t="shared" si="2"/>
        <v>Monterrey</v>
      </c>
      <c r="D371" s="19" t="s">
        <v>2340</v>
      </c>
      <c r="E371" s="19" t="s">
        <v>2341</v>
      </c>
      <c r="F371" s="19" t="s">
        <v>2350</v>
      </c>
      <c r="G371" s="20">
        <v>1203.93</v>
      </c>
      <c r="H371" s="5">
        <v>4.0</v>
      </c>
      <c r="I371" s="20">
        <v>4815.72</v>
      </c>
      <c r="J371" s="2" t="s">
        <v>1179</v>
      </c>
      <c r="K371" s="2" t="s">
        <v>1180</v>
      </c>
      <c r="L371" s="2" t="s">
        <v>1181</v>
      </c>
    </row>
    <row r="372" ht="15.75" customHeight="1">
      <c r="A372" s="13">
        <v>45612.0</v>
      </c>
      <c r="B372" s="2" t="s">
        <v>34</v>
      </c>
      <c r="C372" s="2" t="str">
        <f t="shared" si="2"/>
        <v>Medellín</v>
      </c>
      <c r="D372" s="19" t="s">
        <v>2343</v>
      </c>
      <c r="E372" s="19" t="s">
        <v>2353</v>
      </c>
      <c r="F372" s="19" t="s">
        <v>2350</v>
      </c>
      <c r="G372" s="20">
        <v>1441.97</v>
      </c>
      <c r="H372" s="5">
        <v>3.0</v>
      </c>
      <c r="I372" s="20">
        <v>4325.91</v>
      </c>
      <c r="J372" s="2" t="s">
        <v>1182</v>
      </c>
      <c r="K372" s="2" t="s">
        <v>1183</v>
      </c>
      <c r="L372" s="2" t="s">
        <v>1184</v>
      </c>
    </row>
    <row r="373" ht="15.75" customHeight="1">
      <c r="A373" s="13">
        <v>45612.0</v>
      </c>
      <c r="B373" s="3" t="s">
        <v>14</v>
      </c>
      <c r="C373" s="2" t="str">
        <f t="shared" si="2"/>
        <v>Bogotá</v>
      </c>
      <c r="D373" s="19" t="s">
        <v>2351</v>
      </c>
      <c r="E373" s="19" t="s">
        <v>2354</v>
      </c>
      <c r="F373" s="19" t="s">
        <v>2350</v>
      </c>
      <c r="G373" s="20">
        <v>992.95</v>
      </c>
      <c r="H373" s="5">
        <v>3.0</v>
      </c>
      <c r="I373" s="20">
        <v>2978.85</v>
      </c>
      <c r="J373" s="2" t="s">
        <v>1185</v>
      </c>
      <c r="K373" s="2" t="s">
        <v>1186</v>
      </c>
      <c r="L373" s="2" t="s">
        <v>1187</v>
      </c>
    </row>
    <row r="374" ht="15.75" customHeight="1">
      <c r="A374" s="13">
        <v>45612.0</v>
      </c>
      <c r="B374" s="2" t="s">
        <v>34</v>
      </c>
      <c r="C374" s="2" t="str">
        <f t="shared" si="2"/>
        <v>Medellín</v>
      </c>
      <c r="D374" s="19" t="s">
        <v>2343</v>
      </c>
      <c r="E374" s="19" t="s">
        <v>2360</v>
      </c>
      <c r="F374" s="19" t="s">
        <v>2345</v>
      </c>
      <c r="G374" s="20">
        <v>456.65</v>
      </c>
      <c r="H374" s="5">
        <v>2.0</v>
      </c>
      <c r="I374" s="20">
        <v>913.3</v>
      </c>
      <c r="J374" s="2" t="s">
        <v>1188</v>
      </c>
      <c r="K374" s="2" t="s">
        <v>1189</v>
      </c>
      <c r="L374" s="2" t="s">
        <v>1190</v>
      </c>
    </row>
    <row r="375" ht="15.75" customHeight="1">
      <c r="A375" s="13">
        <v>45613.0</v>
      </c>
      <c r="B375" s="2" t="s">
        <v>34</v>
      </c>
      <c r="C375" s="2" t="str">
        <f t="shared" si="2"/>
        <v>Medellín</v>
      </c>
      <c r="D375" s="19" t="s">
        <v>2347</v>
      </c>
      <c r="E375" s="19" t="s">
        <v>2348</v>
      </c>
      <c r="F375" s="19" t="s">
        <v>2345</v>
      </c>
      <c r="G375" s="20">
        <v>2405.31</v>
      </c>
      <c r="H375" s="5">
        <v>5.0</v>
      </c>
      <c r="I375" s="16">
        <f>G375*H375</f>
        <v>12026.55</v>
      </c>
      <c r="J375" s="2" t="s">
        <v>1191</v>
      </c>
      <c r="K375" s="2" t="s">
        <v>1192</v>
      </c>
      <c r="L375" s="2" t="s">
        <v>1193</v>
      </c>
    </row>
    <row r="376" ht="15.75" customHeight="1">
      <c r="A376" s="13">
        <v>45613.0</v>
      </c>
      <c r="B376" s="3" t="s">
        <v>74</v>
      </c>
      <c r="C376" s="2" t="str">
        <f t="shared" si="2"/>
        <v>Cali</v>
      </c>
      <c r="D376" s="19" t="s">
        <v>2343</v>
      </c>
      <c r="E376" s="19" t="s">
        <v>2344</v>
      </c>
      <c r="F376" s="19" t="s">
        <v>2345</v>
      </c>
      <c r="G376" s="20">
        <v>793.37</v>
      </c>
      <c r="H376" s="5">
        <v>2.0</v>
      </c>
      <c r="I376" s="20">
        <v>1586.74</v>
      </c>
      <c r="J376" s="2" t="s">
        <v>1194</v>
      </c>
      <c r="K376" s="2" t="s">
        <v>1195</v>
      </c>
      <c r="L376" s="2" t="s">
        <v>1196</v>
      </c>
    </row>
    <row r="377" ht="15.75" customHeight="1">
      <c r="A377" s="13">
        <v>45613.0</v>
      </c>
      <c r="B377" s="3" t="s">
        <v>74</v>
      </c>
      <c r="C377" s="2" t="str">
        <f t="shared" si="2"/>
        <v>Cali</v>
      </c>
      <c r="D377" s="19" t="s">
        <v>2340</v>
      </c>
      <c r="E377" s="19" t="s">
        <v>2355</v>
      </c>
      <c r="F377" s="19" t="s">
        <v>2345</v>
      </c>
      <c r="G377" s="20">
        <v>2030.7</v>
      </c>
      <c r="H377" s="5">
        <v>2.0</v>
      </c>
      <c r="I377" s="20">
        <v>4061.4</v>
      </c>
      <c r="J377" s="2" t="s">
        <v>1197</v>
      </c>
      <c r="K377" s="2" t="s">
        <v>1198</v>
      </c>
      <c r="L377" s="2" t="s">
        <v>1199</v>
      </c>
    </row>
    <row r="378" ht="15.75" customHeight="1">
      <c r="A378" s="13">
        <v>45613.0</v>
      </c>
      <c r="B378" s="3" t="s">
        <v>74</v>
      </c>
      <c r="C378" s="2" t="str">
        <f t="shared" si="2"/>
        <v>Cali</v>
      </c>
      <c r="D378" s="19" t="s">
        <v>2340</v>
      </c>
      <c r="E378" s="19" t="s">
        <v>2355</v>
      </c>
      <c r="F378" s="19" t="s">
        <v>2342</v>
      </c>
      <c r="G378" s="20">
        <v>2127.13</v>
      </c>
      <c r="H378" s="5">
        <v>1.0</v>
      </c>
      <c r="I378" s="20">
        <v>2127.13</v>
      </c>
      <c r="J378" s="2" t="s">
        <v>1200</v>
      </c>
      <c r="K378" s="2" t="s">
        <v>1201</v>
      </c>
      <c r="L378" s="2" t="s">
        <v>1202</v>
      </c>
    </row>
    <row r="379" ht="15.75" customHeight="1">
      <c r="A379" s="13">
        <v>45613.0</v>
      </c>
      <c r="B379" s="3" t="s">
        <v>29</v>
      </c>
      <c r="C379" s="2" t="str">
        <f t="shared" si="2"/>
        <v>Ciudad De Mexico</v>
      </c>
      <c r="D379" s="19" t="s">
        <v>2343</v>
      </c>
      <c r="E379" s="19" t="s">
        <v>2360</v>
      </c>
      <c r="F379" s="19" t="s">
        <v>2350</v>
      </c>
      <c r="G379" s="20">
        <v>2255.29</v>
      </c>
      <c r="H379" s="5">
        <v>3.0</v>
      </c>
      <c r="I379" s="20">
        <v>6765.87</v>
      </c>
      <c r="J379" s="2" t="s">
        <v>1203</v>
      </c>
      <c r="K379" s="2" t="s">
        <v>1204</v>
      </c>
      <c r="L379" s="2" t="s">
        <v>1205</v>
      </c>
    </row>
    <row r="380" ht="15.75" customHeight="1">
      <c r="A380" s="13">
        <v>45613.0</v>
      </c>
      <c r="B380" s="3" t="s">
        <v>74</v>
      </c>
      <c r="C380" s="2" t="str">
        <f t="shared" si="2"/>
        <v>Cali</v>
      </c>
      <c r="D380" s="19" t="s">
        <v>2340</v>
      </c>
      <c r="E380" s="19" t="s">
        <v>2341</v>
      </c>
      <c r="F380" s="19" t="s">
        <v>2350</v>
      </c>
      <c r="G380" s="20">
        <v>808.48</v>
      </c>
      <c r="H380" s="5">
        <v>4.0</v>
      </c>
      <c r="I380" s="20">
        <v>3233.92</v>
      </c>
      <c r="J380" s="2" t="s">
        <v>1206</v>
      </c>
      <c r="K380" s="2" t="s">
        <v>1207</v>
      </c>
      <c r="L380" s="2" t="s">
        <v>1208</v>
      </c>
    </row>
    <row r="381" ht="15.75" customHeight="1">
      <c r="A381" s="13">
        <v>45613.0</v>
      </c>
      <c r="B381" s="3" t="s">
        <v>14</v>
      </c>
      <c r="C381" s="2" t="str">
        <f t="shared" si="2"/>
        <v>Bogotá</v>
      </c>
      <c r="D381" s="19" t="s">
        <v>2340</v>
      </c>
      <c r="E381" s="19" t="s">
        <v>2341</v>
      </c>
      <c r="F381" s="19" t="s">
        <v>2342</v>
      </c>
      <c r="G381" s="20">
        <v>2142.82</v>
      </c>
      <c r="H381" s="5">
        <v>2.0</v>
      </c>
      <c r="I381" s="20">
        <v>4285.64</v>
      </c>
      <c r="J381" s="2" t="s">
        <v>1209</v>
      </c>
      <c r="K381" s="2" t="s">
        <v>1210</v>
      </c>
      <c r="L381" s="2" t="s">
        <v>1211</v>
      </c>
    </row>
    <row r="382" ht="15.75" customHeight="1">
      <c r="A382" s="13">
        <v>45613.0</v>
      </c>
      <c r="B382" s="2" t="s">
        <v>57</v>
      </c>
      <c r="C382" s="2" t="str">
        <f t="shared" si="2"/>
        <v>Guadalajara</v>
      </c>
      <c r="D382" s="19" t="s">
        <v>2347</v>
      </c>
      <c r="E382" s="19" t="s">
        <v>2348</v>
      </c>
      <c r="F382" s="19" t="s">
        <v>2342</v>
      </c>
      <c r="G382" s="20">
        <v>219.68</v>
      </c>
      <c r="H382" s="5">
        <v>4.0</v>
      </c>
      <c r="I382" s="20">
        <v>878.72</v>
      </c>
      <c r="J382" s="2" t="s">
        <v>1212</v>
      </c>
      <c r="K382" s="2" t="s">
        <v>1213</v>
      </c>
      <c r="L382" s="2" t="s">
        <v>1214</v>
      </c>
    </row>
    <row r="383" ht="15.75" customHeight="1">
      <c r="A383" s="13">
        <v>45613.0</v>
      </c>
      <c r="B383" s="3" t="s">
        <v>29</v>
      </c>
      <c r="C383" s="2" t="str">
        <f t="shared" si="2"/>
        <v>Ciudad De Mexico</v>
      </c>
      <c r="D383" s="19" t="s">
        <v>2351</v>
      </c>
      <c r="E383" s="19" t="s">
        <v>2354</v>
      </c>
      <c r="F383" s="19" t="s">
        <v>2342</v>
      </c>
      <c r="G383" s="20">
        <v>2269.51</v>
      </c>
      <c r="H383" s="5">
        <v>3.0</v>
      </c>
      <c r="I383" s="20">
        <v>6808.53</v>
      </c>
      <c r="J383" s="2" t="s">
        <v>1215</v>
      </c>
      <c r="K383" s="2" t="s">
        <v>1216</v>
      </c>
      <c r="L383" s="2" t="s">
        <v>1217</v>
      </c>
    </row>
    <row r="384" ht="15.75" customHeight="1">
      <c r="A384" s="13">
        <v>45613.0</v>
      </c>
      <c r="B384" s="3" t="s">
        <v>74</v>
      </c>
      <c r="C384" s="2" t="str">
        <f t="shared" si="2"/>
        <v>Cali</v>
      </c>
      <c r="D384" s="19" t="s">
        <v>2351</v>
      </c>
      <c r="E384" s="19" t="s">
        <v>2352</v>
      </c>
      <c r="F384" s="19" t="s">
        <v>2345</v>
      </c>
      <c r="G384" s="20">
        <v>2002.21</v>
      </c>
      <c r="H384" s="5">
        <v>3.0</v>
      </c>
      <c r="I384" s="20">
        <v>6006.63</v>
      </c>
      <c r="J384" s="2" t="s">
        <v>1218</v>
      </c>
      <c r="K384" s="2" t="s">
        <v>1219</v>
      </c>
      <c r="L384" s="2" t="s">
        <v>1220</v>
      </c>
    </row>
    <row r="385" ht="15.75" customHeight="1">
      <c r="A385" s="13">
        <v>45613.0</v>
      </c>
      <c r="B385" s="3" t="s">
        <v>29</v>
      </c>
      <c r="C385" s="2" t="str">
        <f t="shared" si="2"/>
        <v>Ciudad De Mexico</v>
      </c>
      <c r="D385" s="19" t="s">
        <v>2351</v>
      </c>
      <c r="E385" s="19" t="s">
        <v>2357</v>
      </c>
      <c r="F385" s="19" t="s">
        <v>2350</v>
      </c>
      <c r="G385" s="20">
        <v>877.11</v>
      </c>
      <c r="H385" s="5">
        <v>1.0</v>
      </c>
      <c r="I385" s="20">
        <v>877.11</v>
      </c>
      <c r="J385" s="2" t="s">
        <v>1221</v>
      </c>
      <c r="K385" s="2" t="s">
        <v>1222</v>
      </c>
      <c r="L385" s="2" t="s">
        <v>1223</v>
      </c>
    </row>
    <row r="386" ht="15.75" customHeight="1">
      <c r="A386" s="13">
        <v>45613.0</v>
      </c>
      <c r="B386" s="3" t="s">
        <v>29</v>
      </c>
      <c r="C386" s="2" t="str">
        <f t="shared" si="2"/>
        <v>Ciudad De Mexico</v>
      </c>
      <c r="D386" s="19" t="s">
        <v>2340</v>
      </c>
      <c r="E386" s="19" t="s">
        <v>2355</v>
      </c>
      <c r="F386" s="19" t="s">
        <v>2346</v>
      </c>
      <c r="G386" s="20">
        <v>304.68</v>
      </c>
      <c r="H386" s="5">
        <v>5.0</v>
      </c>
      <c r="I386" s="20">
        <v>1523.4</v>
      </c>
      <c r="J386" s="2" t="s">
        <v>1224</v>
      </c>
      <c r="K386" s="2" t="s">
        <v>1225</v>
      </c>
      <c r="L386" s="2" t="s">
        <v>1226</v>
      </c>
    </row>
    <row r="387" ht="15.75" customHeight="1">
      <c r="A387" s="13">
        <v>45614.0</v>
      </c>
      <c r="B387" s="2" t="s">
        <v>57</v>
      </c>
      <c r="C387" s="2" t="str">
        <f t="shared" si="2"/>
        <v>Guadalajara</v>
      </c>
      <c r="D387" s="19" t="s">
        <v>2343</v>
      </c>
      <c r="E387" s="19" t="s">
        <v>2359</v>
      </c>
      <c r="F387" s="19" t="s">
        <v>2346</v>
      </c>
      <c r="G387" s="20">
        <v>1533.19</v>
      </c>
      <c r="H387" s="5">
        <v>4.0</v>
      </c>
      <c r="I387" s="20">
        <v>6132.76</v>
      </c>
      <c r="J387" s="2" t="s">
        <v>1227</v>
      </c>
      <c r="K387" s="2" t="s">
        <v>1228</v>
      </c>
      <c r="L387" s="2" t="s">
        <v>1229</v>
      </c>
    </row>
    <row r="388" ht="15.75" customHeight="1">
      <c r="A388" s="13">
        <v>45614.0</v>
      </c>
      <c r="B388" s="3" t="s">
        <v>9</v>
      </c>
      <c r="C388" s="2" t="str">
        <f t="shared" si="2"/>
        <v>Monterrey</v>
      </c>
      <c r="D388" s="19" t="s">
        <v>2343</v>
      </c>
      <c r="E388" s="19" t="s">
        <v>2344</v>
      </c>
      <c r="F388" s="19" t="s">
        <v>2345</v>
      </c>
      <c r="G388" s="20">
        <v>1141.13</v>
      </c>
      <c r="H388" s="5">
        <v>3.0</v>
      </c>
      <c r="I388" s="20">
        <v>3423.39</v>
      </c>
      <c r="J388" s="2" t="s">
        <v>1230</v>
      </c>
      <c r="K388" s="2" t="s">
        <v>1231</v>
      </c>
      <c r="L388" s="2" t="s">
        <v>1232</v>
      </c>
    </row>
    <row r="389" ht="15.75" customHeight="1">
      <c r="A389" s="13">
        <v>45614.0</v>
      </c>
      <c r="B389" s="3" t="s">
        <v>14</v>
      </c>
      <c r="C389" s="2" t="str">
        <f t="shared" si="2"/>
        <v>Bogotá</v>
      </c>
      <c r="D389" s="19" t="s">
        <v>2351</v>
      </c>
      <c r="E389" s="19" t="s">
        <v>2354</v>
      </c>
      <c r="F389" s="19" t="s">
        <v>2342</v>
      </c>
      <c r="G389" s="20">
        <v>890.76</v>
      </c>
      <c r="H389" s="5">
        <v>2.0</v>
      </c>
      <c r="I389" s="20">
        <v>1781.52</v>
      </c>
      <c r="J389" s="2" t="s">
        <v>1233</v>
      </c>
      <c r="K389" s="2" t="s">
        <v>1234</v>
      </c>
      <c r="L389" s="2" t="s">
        <v>1235</v>
      </c>
    </row>
    <row r="390" ht="15.75" customHeight="1">
      <c r="A390" s="13">
        <v>45614.0</v>
      </c>
      <c r="B390" s="3" t="s">
        <v>9</v>
      </c>
      <c r="C390" s="2" t="str">
        <f t="shared" si="2"/>
        <v>Monterrey</v>
      </c>
      <c r="D390" s="19" t="s">
        <v>2343</v>
      </c>
      <c r="E390" s="19" t="s">
        <v>2360</v>
      </c>
      <c r="F390" s="19" t="s">
        <v>2345</v>
      </c>
      <c r="G390" s="20">
        <v>1307.54</v>
      </c>
      <c r="H390" s="5">
        <v>1.0</v>
      </c>
      <c r="I390" s="20">
        <v>1307.54</v>
      </c>
      <c r="J390" s="2" t="s">
        <v>1236</v>
      </c>
      <c r="K390" s="2" t="s">
        <v>1237</v>
      </c>
      <c r="L390" s="2" t="s">
        <v>1238</v>
      </c>
    </row>
    <row r="391" ht="15.75" customHeight="1">
      <c r="A391" s="13">
        <v>45614.0</v>
      </c>
      <c r="B391" s="3" t="s">
        <v>14</v>
      </c>
      <c r="C391" s="2" t="str">
        <f t="shared" si="2"/>
        <v>Bogotá</v>
      </c>
      <c r="D391" s="19" t="s">
        <v>2340</v>
      </c>
      <c r="E391" s="19" t="s">
        <v>2341</v>
      </c>
      <c r="F391" s="19" t="s">
        <v>2342</v>
      </c>
      <c r="G391" s="20">
        <v>1178.53</v>
      </c>
      <c r="H391" s="5">
        <v>2.0</v>
      </c>
      <c r="I391" s="20">
        <v>2357.06</v>
      </c>
      <c r="J391" s="2" t="s">
        <v>1239</v>
      </c>
      <c r="K391" s="2" t="s">
        <v>1240</v>
      </c>
      <c r="L391" s="2" t="s">
        <v>1241</v>
      </c>
    </row>
    <row r="392" ht="15.75" customHeight="1">
      <c r="A392" s="13">
        <v>45614.0</v>
      </c>
      <c r="B392" s="3" t="s">
        <v>74</v>
      </c>
      <c r="C392" s="2" t="str">
        <f t="shared" si="2"/>
        <v>Cali</v>
      </c>
      <c r="D392" s="19" t="s">
        <v>2343</v>
      </c>
      <c r="E392" s="19" t="s">
        <v>2353</v>
      </c>
      <c r="F392" s="19" t="s">
        <v>2342</v>
      </c>
      <c r="G392" s="20">
        <v>1217.56</v>
      </c>
      <c r="H392" s="5">
        <v>3.0</v>
      </c>
      <c r="I392" s="20">
        <v>3652.68</v>
      </c>
      <c r="J392" s="2" t="s">
        <v>1242</v>
      </c>
      <c r="K392" s="2" t="s">
        <v>1243</v>
      </c>
      <c r="L392" s="2" t="s">
        <v>1244</v>
      </c>
    </row>
    <row r="393" ht="15.75" customHeight="1">
      <c r="A393" s="13">
        <v>45614.0</v>
      </c>
      <c r="B393" s="3" t="s">
        <v>14</v>
      </c>
      <c r="C393" s="2" t="str">
        <f t="shared" si="2"/>
        <v>Bogotá</v>
      </c>
      <c r="D393" s="19" t="s">
        <v>2340</v>
      </c>
      <c r="E393" s="19" t="s">
        <v>2355</v>
      </c>
      <c r="F393" s="19" t="s">
        <v>2345</v>
      </c>
      <c r="G393" s="20">
        <v>2191.24</v>
      </c>
      <c r="H393" s="5">
        <v>5.0</v>
      </c>
      <c r="I393" s="20">
        <v>10956.2</v>
      </c>
      <c r="J393" s="2" t="s">
        <v>1245</v>
      </c>
      <c r="K393" s="2" t="s">
        <v>1246</v>
      </c>
      <c r="L393" s="2" t="s">
        <v>1247</v>
      </c>
    </row>
    <row r="394" ht="15.75" customHeight="1">
      <c r="A394" s="13">
        <v>45614.0</v>
      </c>
      <c r="B394" s="3" t="s">
        <v>14</v>
      </c>
      <c r="C394" s="2" t="str">
        <f t="shared" si="2"/>
        <v>Bogotá</v>
      </c>
      <c r="D394" s="19" t="s">
        <v>2347</v>
      </c>
      <c r="E394" s="19" t="s">
        <v>2356</v>
      </c>
      <c r="F394" s="19" t="s">
        <v>2346</v>
      </c>
      <c r="G394" s="20">
        <v>276.58</v>
      </c>
      <c r="H394" s="5">
        <v>1.0</v>
      </c>
      <c r="I394" s="20">
        <v>276.58</v>
      </c>
      <c r="J394" s="2" t="s">
        <v>1248</v>
      </c>
      <c r="K394" s="2" t="s">
        <v>1249</v>
      </c>
      <c r="L394" s="2" t="s">
        <v>1250</v>
      </c>
    </row>
    <row r="395" ht="15.75" customHeight="1">
      <c r="A395" s="13">
        <v>45614.0</v>
      </c>
      <c r="B395" s="3" t="s">
        <v>14</v>
      </c>
      <c r="C395" s="2" t="str">
        <f t="shared" si="2"/>
        <v>Bogotá</v>
      </c>
      <c r="D395" s="19" t="s">
        <v>2343</v>
      </c>
      <c r="E395" s="19" t="s">
        <v>2353</v>
      </c>
      <c r="F395" s="19" t="s">
        <v>2350</v>
      </c>
      <c r="G395" s="20">
        <v>2426.87</v>
      </c>
      <c r="H395" s="5">
        <v>5.0</v>
      </c>
      <c r="I395" s="20">
        <v>12134.35</v>
      </c>
      <c r="J395" s="2" t="s">
        <v>1251</v>
      </c>
      <c r="K395" s="2" t="s">
        <v>1252</v>
      </c>
      <c r="L395" s="2" t="s">
        <v>1253</v>
      </c>
    </row>
    <row r="396" ht="15.75" customHeight="1">
      <c r="A396" s="13">
        <v>45615.0</v>
      </c>
      <c r="B396" s="3" t="s">
        <v>9</v>
      </c>
      <c r="C396" s="2" t="str">
        <f t="shared" si="2"/>
        <v>Monterrey</v>
      </c>
      <c r="D396" s="19" t="s">
        <v>2351</v>
      </c>
      <c r="E396" s="19" t="s">
        <v>2354</v>
      </c>
      <c r="F396" s="19" t="s">
        <v>2350</v>
      </c>
      <c r="G396" s="20">
        <v>1077.1</v>
      </c>
      <c r="H396" s="5">
        <v>5.0</v>
      </c>
      <c r="I396" s="20">
        <v>5385.5</v>
      </c>
      <c r="J396" s="2" t="s">
        <v>1254</v>
      </c>
      <c r="K396" s="2" t="s">
        <v>1255</v>
      </c>
      <c r="L396" s="2" t="s">
        <v>1256</v>
      </c>
    </row>
    <row r="397" ht="15.75" customHeight="1">
      <c r="A397" s="13">
        <v>45615.0</v>
      </c>
      <c r="B397" s="3" t="s">
        <v>29</v>
      </c>
      <c r="C397" s="2" t="str">
        <f t="shared" si="2"/>
        <v>Ciudad De Mexico</v>
      </c>
      <c r="D397" s="19" t="s">
        <v>2343</v>
      </c>
      <c r="E397" s="19" t="s">
        <v>2359</v>
      </c>
      <c r="F397" s="19" t="s">
        <v>2346</v>
      </c>
      <c r="G397" s="20">
        <v>920.68</v>
      </c>
      <c r="H397" s="5">
        <v>3.0</v>
      </c>
      <c r="I397" s="20">
        <v>2762.04</v>
      </c>
      <c r="J397" s="2" t="s">
        <v>1257</v>
      </c>
      <c r="K397" s="2" t="s">
        <v>1258</v>
      </c>
      <c r="L397" s="2" t="s">
        <v>1259</v>
      </c>
    </row>
    <row r="398" ht="15.75" customHeight="1">
      <c r="A398" s="13">
        <v>45615.0</v>
      </c>
      <c r="B398" s="2" t="s">
        <v>34</v>
      </c>
      <c r="C398" s="2" t="str">
        <f t="shared" si="2"/>
        <v>Medellín</v>
      </c>
      <c r="D398" s="19" t="s">
        <v>2347</v>
      </c>
      <c r="E398" s="19" t="s">
        <v>2356</v>
      </c>
      <c r="F398" s="19" t="s">
        <v>2350</v>
      </c>
      <c r="G398" s="20">
        <v>1620.89</v>
      </c>
      <c r="H398" s="5">
        <v>3.0</v>
      </c>
      <c r="I398" s="20">
        <v>4862.67</v>
      </c>
      <c r="J398" s="2" t="s">
        <v>1260</v>
      </c>
      <c r="K398" s="2" t="s">
        <v>1261</v>
      </c>
      <c r="L398" s="2" t="s">
        <v>1262</v>
      </c>
    </row>
    <row r="399" ht="15.75" customHeight="1">
      <c r="A399" s="13">
        <v>45615.0</v>
      </c>
      <c r="B399" s="3" t="s">
        <v>29</v>
      </c>
      <c r="C399" s="2" t="str">
        <f t="shared" si="2"/>
        <v>Ciudad De Mexico</v>
      </c>
      <c r="D399" s="19" t="s">
        <v>2347</v>
      </c>
      <c r="E399" s="19" t="s">
        <v>2356</v>
      </c>
      <c r="F399" s="19" t="s">
        <v>2350</v>
      </c>
      <c r="G399" s="20">
        <v>653.09</v>
      </c>
      <c r="H399" s="5">
        <v>4.0</v>
      </c>
      <c r="I399" s="20">
        <v>2612.36</v>
      </c>
      <c r="J399" s="2" t="s">
        <v>1263</v>
      </c>
      <c r="K399" s="2" t="s">
        <v>1264</v>
      </c>
      <c r="L399" s="2" t="s">
        <v>1265</v>
      </c>
    </row>
    <row r="400" ht="15.75" customHeight="1">
      <c r="A400" s="13">
        <v>45615.0</v>
      </c>
      <c r="B400" s="3" t="s">
        <v>29</v>
      </c>
      <c r="C400" s="2" t="str">
        <f t="shared" si="2"/>
        <v>Ciudad De Mexico</v>
      </c>
      <c r="D400" s="19" t="s">
        <v>2351</v>
      </c>
      <c r="E400" s="19" t="s">
        <v>2352</v>
      </c>
      <c r="F400" s="19" t="s">
        <v>2350</v>
      </c>
      <c r="G400" s="20">
        <v>1057.56</v>
      </c>
      <c r="H400" s="5">
        <v>5.0</v>
      </c>
      <c r="I400" s="20">
        <v>5287.8</v>
      </c>
      <c r="J400" s="2" t="s">
        <v>1266</v>
      </c>
      <c r="K400" s="2" t="s">
        <v>1267</v>
      </c>
      <c r="L400" s="2" t="s">
        <v>1268</v>
      </c>
    </row>
    <row r="401" ht="15.75" customHeight="1">
      <c r="A401" s="13">
        <v>45615.0</v>
      </c>
      <c r="B401" s="2" t="s">
        <v>34</v>
      </c>
      <c r="C401" s="2" t="str">
        <f t="shared" si="2"/>
        <v>Medellín</v>
      </c>
      <c r="D401" s="19" t="s">
        <v>2351</v>
      </c>
      <c r="E401" s="19" t="s">
        <v>2354</v>
      </c>
      <c r="F401" s="19" t="s">
        <v>2350</v>
      </c>
      <c r="G401" s="20">
        <v>1292.9</v>
      </c>
      <c r="H401" s="5">
        <v>2.0</v>
      </c>
      <c r="I401" s="20">
        <v>2585.8</v>
      </c>
      <c r="J401" s="2" t="s">
        <v>1269</v>
      </c>
      <c r="K401" s="2" t="s">
        <v>1270</v>
      </c>
      <c r="L401" s="2" t="s">
        <v>1271</v>
      </c>
    </row>
    <row r="402" ht="15.75" customHeight="1">
      <c r="A402" s="13">
        <v>45615.0</v>
      </c>
      <c r="B402" s="3" t="s">
        <v>14</v>
      </c>
      <c r="C402" s="2" t="str">
        <f t="shared" si="2"/>
        <v>Bogotá</v>
      </c>
      <c r="D402" s="19" t="s">
        <v>2347</v>
      </c>
      <c r="E402" s="19" t="s">
        <v>2348</v>
      </c>
      <c r="F402" s="19" t="s">
        <v>2345</v>
      </c>
      <c r="G402" s="20">
        <v>173.04</v>
      </c>
      <c r="H402" s="5">
        <v>2.0</v>
      </c>
      <c r="I402" s="20">
        <v>346.08</v>
      </c>
      <c r="J402" s="2" t="s">
        <v>1272</v>
      </c>
      <c r="K402" s="2" t="s">
        <v>1273</v>
      </c>
      <c r="L402" s="2" t="s">
        <v>1274</v>
      </c>
    </row>
    <row r="403" ht="15.75" customHeight="1">
      <c r="A403" s="13">
        <v>45615.0</v>
      </c>
      <c r="B403" s="2" t="s">
        <v>34</v>
      </c>
      <c r="C403" s="2" t="str">
        <f t="shared" si="2"/>
        <v>Medellín</v>
      </c>
      <c r="D403" s="19" t="s">
        <v>2347</v>
      </c>
      <c r="E403" s="19" t="s">
        <v>2356</v>
      </c>
      <c r="F403" s="19" t="s">
        <v>2345</v>
      </c>
      <c r="G403" s="20">
        <v>221.44</v>
      </c>
      <c r="H403" s="5">
        <v>3.0</v>
      </c>
      <c r="I403" s="20">
        <v>664.32</v>
      </c>
      <c r="J403" s="2" t="s">
        <v>1275</v>
      </c>
      <c r="K403" s="2" t="s">
        <v>1276</v>
      </c>
      <c r="L403" s="2" t="s">
        <v>1277</v>
      </c>
    </row>
    <row r="404" ht="15.75" customHeight="1">
      <c r="A404" s="13">
        <v>45615.0</v>
      </c>
      <c r="B404" s="3" t="s">
        <v>29</v>
      </c>
      <c r="C404" s="2" t="str">
        <f t="shared" si="2"/>
        <v>Ciudad De Mexico</v>
      </c>
      <c r="D404" s="19" t="s">
        <v>2351</v>
      </c>
      <c r="E404" s="19" t="s">
        <v>2357</v>
      </c>
      <c r="F404" s="19" t="s">
        <v>2342</v>
      </c>
      <c r="G404" s="20">
        <v>2185.04</v>
      </c>
      <c r="H404" s="5">
        <v>4.0</v>
      </c>
      <c r="I404" s="20">
        <v>8740.16</v>
      </c>
      <c r="J404" s="2" t="s">
        <v>1278</v>
      </c>
      <c r="K404" s="2" t="s">
        <v>1279</v>
      </c>
      <c r="L404" s="2" t="s">
        <v>1280</v>
      </c>
    </row>
    <row r="405" ht="15.75" customHeight="1">
      <c r="A405" s="13">
        <v>45615.0</v>
      </c>
      <c r="B405" s="2" t="s">
        <v>57</v>
      </c>
      <c r="C405" s="2" t="str">
        <f t="shared" si="2"/>
        <v>Guadalajara</v>
      </c>
      <c r="D405" s="19" t="s">
        <v>2343</v>
      </c>
      <c r="E405" s="19" t="s">
        <v>2360</v>
      </c>
      <c r="F405" s="19" t="s">
        <v>2350</v>
      </c>
      <c r="G405" s="20">
        <v>2214.19</v>
      </c>
      <c r="H405" s="5">
        <v>2.0</v>
      </c>
      <c r="I405" s="20">
        <v>4428.38</v>
      </c>
      <c r="J405" s="2" t="s">
        <v>1281</v>
      </c>
      <c r="K405" s="2" t="s">
        <v>1282</v>
      </c>
      <c r="L405" s="2" t="s">
        <v>1283</v>
      </c>
    </row>
    <row r="406" ht="15.75" customHeight="1">
      <c r="A406" s="18">
        <v>45615.0</v>
      </c>
      <c r="B406" s="3" t="s">
        <v>74</v>
      </c>
      <c r="C406" s="2" t="str">
        <f t="shared" si="2"/>
        <v>Cali</v>
      </c>
      <c r="D406" s="19" t="s">
        <v>2343</v>
      </c>
      <c r="E406" s="19" t="s">
        <v>2360</v>
      </c>
      <c r="F406" s="19" t="s">
        <v>2345</v>
      </c>
      <c r="G406" s="20">
        <v>215.41</v>
      </c>
      <c r="H406" s="5">
        <v>1.0</v>
      </c>
      <c r="I406" s="20">
        <v>215.41</v>
      </c>
      <c r="J406" s="2" t="s">
        <v>1284</v>
      </c>
      <c r="K406" s="2" t="s">
        <v>1285</v>
      </c>
      <c r="L406" s="2" t="s">
        <v>1286</v>
      </c>
    </row>
    <row r="407" ht="15.75" customHeight="1">
      <c r="A407" s="13">
        <v>45615.0</v>
      </c>
      <c r="B407" s="3" t="s">
        <v>14</v>
      </c>
      <c r="C407" s="2" t="str">
        <f t="shared" si="2"/>
        <v>Bogotá</v>
      </c>
      <c r="D407" s="19" t="s">
        <v>2343</v>
      </c>
      <c r="E407" s="19" t="s">
        <v>2344</v>
      </c>
      <c r="F407" s="19" t="s">
        <v>2342</v>
      </c>
      <c r="G407" s="20">
        <v>1097.51</v>
      </c>
      <c r="H407" s="5">
        <v>1.0</v>
      </c>
      <c r="I407" s="20">
        <v>1097.51</v>
      </c>
      <c r="J407" s="2" t="s">
        <v>1287</v>
      </c>
      <c r="K407" s="2" t="s">
        <v>1288</v>
      </c>
      <c r="L407" s="2" t="s">
        <v>1289</v>
      </c>
    </row>
    <row r="408" ht="15.75" customHeight="1">
      <c r="A408" s="13">
        <v>45615.0</v>
      </c>
      <c r="B408" s="3" t="s">
        <v>29</v>
      </c>
      <c r="C408" s="2" t="str">
        <f t="shared" si="2"/>
        <v>Ciudad De Mexico</v>
      </c>
      <c r="D408" s="19" t="s">
        <v>2343</v>
      </c>
      <c r="E408" s="19" t="s">
        <v>2344</v>
      </c>
      <c r="F408" s="19" t="s">
        <v>2342</v>
      </c>
      <c r="G408" s="20">
        <v>1868.8</v>
      </c>
      <c r="H408" s="5">
        <v>2.0</v>
      </c>
      <c r="I408" s="20">
        <v>3737.6</v>
      </c>
      <c r="J408" s="2" t="s">
        <v>1290</v>
      </c>
      <c r="K408" s="2" t="s">
        <v>1291</v>
      </c>
      <c r="L408" s="2" t="s">
        <v>1292</v>
      </c>
    </row>
    <row r="409" ht="15.75" customHeight="1">
      <c r="A409" s="13">
        <v>45616.0</v>
      </c>
      <c r="B409" s="2" t="s">
        <v>34</v>
      </c>
      <c r="C409" s="2" t="str">
        <f t="shared" si="2"/>
        <v>Medellín</v>
      </c>
      <c r="D409" s="19" t="s">
        <v>2351</v>
      </c>
      <c r="E409" s="19" t="s">
        <v>2354</v>
      </c>
      <c r="F409" s="19" t="s">
        <v>2350</v>
      </c>
      <c r="G409" s="20">
        <v>2371.6</v>
      </c>
      <c r="H409" s="5">
        <v>2.0</v>
      </c>
      <c r="I409" s="20">
        <v>4743.2</v>
      </c>
      <c r="J409" s="2" t="s">
        <v>1293</v>
      </c>
      <c r="K409" s="2" t="s">
        <v>1294</v>
      </c>
      <c r="L409" s="2" t="s">
        <v>1295</v>
      </c>
    </row>
    <row r="410" ht="15.75" customHeight="1">
      <c r="A410" s="13">
        <v>45616.0</v>
      </c>
      <c r="B410" s="2" t="s">
        <v>57</v>
      </c>
      <c r="C410" s="2" t="str">
        <f t="shared" si="2"/>
        <v>Guadalajara</v>
      </c>
      <c r="D410" s="19" t="s">
        <v>2340</v>
      </c>
      <c r="E410" s="19" t="s">
        <v>2355</v>
      </c>
      <c r="F410" s="19" t="s">
        <v>2342</v>
      </c>
      <c r="G410" s="20">
        <v>1752.92</v>
      </c>
      <c r="H410" s="5">
        <v>1.0</v>
      </c>
      <c r="I410" s="20">
        <v>1752.92</v>
      </c>
      <c r="J410" s="2" t="s">
        <v>1296</v>
      </c>
      <c r="K410" s="2" t="s">
        <v>1297</v>
      </c>
      <c r="L410" s="2" t="s">
        <v>1298</v>
      </c>
    </row>
    <row r="411" ht="15.75" customHeight="1">
      <c r="A411" s="13">
        <v>45616.0</v>
      </c>
      <c r="B411" s="2" t="s">
        <v>57</v>
      </c>
      <c r="C411" s="2" t="str">
        <f t="shared" si="2"/>
        <v>Guadalajara</v>
      </c>
      <c r="D411" s="19" t="s">
        <v>2351</v>
      </c>
      <c r="E411" s="19" t="s">
        <v>2354</v>
      </c>
      <c r="F411" s="19" t="s">
        <v>2342</v>
      </c>
      <c r="G411" s="20">
        <v>210.76</v>
      </c>
      <c r="H411" s="5">
        <v>5.0</v>
      </c>
      <c r="I411" s="20">
        <v>1053.8</v>
      </c>
      <c r="J411" s="2" t="s">
        <v>1299</v>
      </c>
      <c r="K411" s="2" t="s">
        <v>1300</v>
      </c>
      <c r="L411" s="2" t="s">
        <v>1301</v>
      </c>
    </row>
    <row r="412" ht="15.75" customHeight="1">
      <c r="A412" s="13">
        <v>45616.0</v>
      </c>
      <c r="B412" s="2" t="s">
        <v>34</v>
      </c>
      <c r="C412" s="2" t="str">
        <f t="shared" si="2"/>
        <v>Medellín</v>
      </c>
      <c r="D412" s="19" t="s">
        <v>2340</v>
      </c>
      <c r="E412" s="19" t="s">
        <v>2341</v>
      </c>
      <c r="F412" s="19" t="s">
        <v>2345</v>
      </c>
      <c r="G412" s="20">
        <v>1145.32</v>
      </c>
      <c r="H412" s="5">
        <v>1.0</v>
      </c>
      <c r="I412" s="20">
        <v>1145.32</v>
      </c>
      <c r="J412" s="2" t="s">
        <v>1302</v>
      </c>
      <c r="K412" s="2" t="s">
        <v>1303</v>
      </c>
      <c r="L412" s="2" t="s">
        <v>1304</v>
      </c>
    </row>
    <row r="413" ht="15.75" customHeight="1">
      <c r="A413" s="13">
        <v>45616.0</v>
      </c>
      <c r="B413" s="3" t="s">
        <v>9</v>
      </c>
      <c r="C413" s="2" t="str">
        <f t="shared" si="2"/>
        <v>Monterrey</v>
      </c>
      <c r="D413" s="19" t="s">
        <v>2340</v>
      </c>
      <c r="E413" s="19" t="s">
        <v>2349</v>
      </c>
      <c r="F413" s="19" t="s">
        <v>2350</v>
      </c>
      <c r="G413" s="20">
        <v>1017.27</v>
      </c>
      <c r="H413" s="5">
        <v>1.0</v>
      </c>
      <c r="I413" s="20">
        <v>1017.27</v>
      </c>
      <c r="J413" s="2" t="s">
        <v>1305</v>
      </c>
      <c r="K413" s="2" t="s">
        <v>1306</v>
      </c>
      <c r="L413" s="2" t="s">
        <v>1307</v>
      </c>
    </row>
    <row r="414" ht="15.75" customHeight="1">
      <c r="A414" s="13">
        <v>45616.0</v>
      </c>
      <c r="B414" s="3" t="s">
        <v>74</v>
      </c>
      <c r="C414" s="2" t="str">
        <f t="shared" si="2"/>
        <v>Cali</v>
      </c>
      <c r="D414" s="19" t="s">
        <v>2340</v>
      </c>
      <c r="E414" s="19" t="s">
        <v>2341</v>
      </c>
      <c r="F414" s="19" t="s">
        <v>2350</v>
      </c>
      <c r="G414" s="20">
        <v>2246.65</v>
      </c>
      <c r="H414" s="5">
        <v>2.0</v>
      </c>
      <c r="I414" s="20">
        <v>4493.3</v>
      </c>
      <c r="J414" s="2" t="s">
        <v>1308</v>
      </c>
      <c r="K414" s="2" t="s">
        <v>1309</v>
      </c>
      <c r="L414" s="2" t="s">
        <v>1310</v>
      </c>
    </row>
    <row r="415" ht="15.75" customHeight="1">
      <c r="A415" s="13">
        <v>45616.0</v>
      </c>
      <c r="B415" s="2" t="s">
        <v>34</v>
      </c>
      <c r="C415" s="2" t="str">
        <f t="shared" si="2"/>
        <v>Medellín</v>
      </c>
      <c r="D415" s="19" t="s">
        <v>2340</v>
      </c>
      <c r="E415" s="19" t="s">
        <v>2341</v>
      </c>
      <c r="F415" s="19" t="s">
        <v>2350</v>
      </c>
      <c r="G415" s="20">
        <v>269.57</v>
      </c>
      <c r="H415" s="5">
        <v>5.0</v>
      </c>
      <c r="I415" s="20">
        <v>1347.85</v>
      </c>
      <c r="J415" s="2" t="s">
        <v>1311</v>
      </c>
      <c r="K415" s="2" t="s">
        <v>1312</v>
      </c>
      <c r="L415" s="2" t="s">
        <v>1313</v>
      </c>
    </row>
    <row r="416" ht="15.75" customHeight="1">
      <c r="A416" s="13">
        <v>45616.0</v>
      </c>
      <c r="B416" s="2" t="s">
        <v>57</v>
      </c>
      <c r="C416" s="2" t="str">
        <f t="shared" si="2"/>
        <v>Guadalajara</v>
      </c>
      <c r="D416" s="19" t="s">
        <v>2351</v>
      </c>
      <c r="E416" s="19" t="s">
        <v>2354</v>
      </c>
      <c r="F416" s="19" t="s">
        <v>2346</v>
      </c>
      <c r="G416" s="20">
        <v>2189.91</v>
      </c>
      <c r="H416" s="5">
        <v>3.0</v>
      </c>
      <c r="I416" s="20">
        <v>6569.73</v>
      </c>
      <c r="J416" s="2" t="s">
        <v>1314</v>
      </c>
      <c r="K416" s="2" t="s">
        <v>1315</v>
      </c>
      <c r="L416" s="2" t="s">
        <v>1316</v>
      </c>
    </row>
    <row r="417" ht="15.75" customHeight="1">
      <c r="A417" s="13">
        <v>45616.0</v>
      </c>
      <c r="B417" s="2" t="s">
        <v>57</v>
      </c>
      <c r="C417" s="2" t="str">
        <f t="shared" si="2"/>
        <v>Guadalajara</v>
      </c>
      <c r="D417" s="19" t="s">
        <v>2340</v>
      </c>
      <c r="E417" s="19" t="s">
        <v>2349</v>
      </c>
      <c r="F417" s="19" t="s">
        <v>2342</v>
      </c>
      <c r="G417" s="20">
        <v>1130.03</v>
      </c>
      <c r="H417" s="5">
        <v>5.0</v>
      </c>
      <c r="I417" s="20">
        <v>5650.15</v>
      </c>
      <c r="J417" s="2" t="s">
        <v>1317</v>
      </c>
      <c r="K417" s="2" t="s">
        <v>1318</v>
      </c>
      <c r="L417" s="2" t="s">
        <v>1319</v>
      </c>
    </row>
    <row r="418" ht="15.75" customHeight="1">
      <c r="A418" s="13">
        <v>45616.0</v>
      </c>
      <c r="B418" s="3" t="s">
        <v>29</v>
      </c>
      <c r="C418" s="2" t="str">
        <f t="shared" si="2"/>
        <v>Ciudad De Mexico</v>
      </c>
      <c r="D418" s="19" t="s">
        <v>2343</v>
      </c>
      <c r="E418" s="19" t="s">
        <v>2360</v>
      </c>
      <c r="F418" s="19" t="s">
        <v>2345</v>
      </c>
      <c r="G418" s="20">
        <v>1485.74</v>
      </c>
      <c r="H418" s="5">
        <v>3.0</v>
      </c>
      <c r="I418" s="20">
        <v>4457.22</v>
      </c>
      <c r="J418" s="2" t="s">
        <v>1320</v>
      </c>
      <c r="K418" s="2" t="s">
        <v>1321</v>
      </c>
      <c r="L418" s="2" t="s">
        <v>1322</v>
      </c>
    </row>
    <row r="419" ht="15.75" customHeight="1">
      <c r="A419" s="13">
        <v>45616.0</v>
      </c>
      <c r="B419" s="2" t="s">
        <v>34</v>
      </c>
      <c r="C419" s="2" t="str">
        <f t="shared" si="2"/>
        <v>Medellín</v>
      </c>
      <c r="D419" s="19" t="s">
        <v>2347</v>
      </c>
      <c r="E419" s="19" t="s">
        <v>2358</v>
      </c>
      <c r="F419" s="19" t="s">
        <v>2350</v>
      </c>
      <c r="G419" s="20">
        <v>1570.12</v>
      </c>
      <c r="H419" s="5">
        <v>3.0</v>
      </c>
      <c r="I419" s="20">
        <v>4710.36</v>
      </c>
      <c r="J419" s="2" t="s">
        <v>1323</v>
      </c>
      <c r="K419" s="2" t="s">
        <v>1324</v>
      </c>
      <c r="L419" s="2" t="s">
        <v>1325</v>
      </c>
    </row>
    <row r="420" ht="15.75" customHeight="1">
      <c r="A420" s="13">
        <v>45616.0</v>
      </c>
      <c r="B420" s="3" t="s">
        <v>9</v>
      </c>
      <c r="C420" s="2" t="str">
        <f t="shared" si="2"/>
        <v>Monterrey</v>
      </c>
      <c r="D420" s="19" t="s">
        <v>2351</v>
      </c>
      <c r="E420" s="19" t="s">
        <v>2357</v>
      </c>
      <c r="F420" s="19" t="s">
        <v>2346</v>
      </c>
      <c r="G420" s="20">
        <v>2469.75</v>
      </c>
      <c r="H420" s="5">
        <v>3.0</v>
      </c>
      <c r="I420" s="20">
        <v>7409.25</v>
      </c>
      <c r="J420" s="2" t="s">
        <v>1326</v>
      </c>
      <c r="K420" s="2" t="s">
        <v>1327</v>
      </c>
      <c r="L420" s="2" t="s">
        <v>1328</v>
      </c>
    </row>
    <row r="421" ht="15.75" customHeight="1">
      <c r="A421" s="13">
        <v>45617.0</v>
      </c>
      <c r="B421" s="3" t="s">
        <v>9</v>
      </c>
      <c r="C421" s="2" t="str">
        <f t="shared" si="2"/>
        <v>Monterrey</v>
      </c>
      <c r="D421" s="19" t="s">
        <v>2351</v>
      </c>
      <c r="E421" s="19" t="s">
        <v>2357</v>
      </c>
      <c r="F421" s="19" t="s">
        <v>2345</v>
      </c>
      <c r="G421" s="20">
        <v>1738.96</v>
      </c>
      <c r="H421" s="5">
        <v>4.0</v>
      </c>
      <c r="I421" s="20">
        <v>6955.84</v>
      </c>
      <c r="J421" s="2" t="s">
        <v>1329</v>
      </c>
      <c r="K421" s="2" t="s">
        <v>1330</v>
      </c>
      <c r="L421" s="2" t="s">
        <v>1331</v>
      </c>
    </row>
    <row r="422" ht="15.75" customHeight="1">
      <c r="A422" s="13">
        <v>45617.0</v>
      </c>
      <c r="B422" s="3" t="s">
        <v>14</v>
      </c>
      <c r="C422" s="2" t="str">
        <f t="shared" si="2"/>
        <v>Bogotá</v>
      </c>
      <c r="D422" s="19" t="s">
        <v>2340</v>
      </c>
      <c r="E422" s="19" t="s">
        <v>2355</v>
      </c>
      <c r="F422" s="19" t="s">
        <v>2350</v>
      </c>
      <c r="G422" s="20">
        <v>1987.27</v>
      </c>
      <c r="H422" s="5">
        <v>3.0</v>
      </c>
      <c r="I422" s="20">
        <v>5961.81</v>
      </c>
      <c r="J422" s="2" t="s">
        <v>1332</v>
      </c>
      <c r="K422" s="2" t="s">
        <v>1333</v>
      </c>
      <c r="L422" s="2" t="s">
        <v>1334</v>
      </c>
    </row>
    <row r="423" ht="15.75" customHeight="1">
      <c r="A423" s="13">
        <v>45617.0</v>
      </c>
      <c r="B423" s="3" t="s">
        <v>9</v>
      </c>
      <c r="C423" s="2" t="str">
        <f t="shared" si="2"/>
        <v>Monterrey</v>
      </c>
      <c r="D423" s="19" t="s">
        <v>2343</v>
      </c>
      <c r="E423" s="19" t="s">
        <v>2353</v>
      </c>
      <c r="F423" s="19" t="s">
        <v>2350</v>
      </c>
      <c r="G423" s="20">
        <v>1640.14</v>
      </c>
      <c r="H423" s="5">
        <v>5.0</v>
      </c>
      <c r="I423" s="20">
        <v>8200.7</v>
      </c>
      <c r="J423" s="2" t="s">
        <v>1335</v>
      </c>
      <c r="K423" s="2" t="s">
        <v>1336</v>
      </c>
      <c r="L423" s="2" t="s">
        <v>1337</v>
      </c>
    </row>
    <row r="424" ht="15.75" customHeight="1">
      <c r="A424" s="13">
        <v>45617.0</v>
      </c>
      <c r="B424" s="2" t="s">
        <v>57</v>
      </c>
      <c r="C424" s="2" t="str">
        <f t="shared" si="2"/>
        <v>Guadalajara</v>
      </c>
      <c r="D424" s="19" t="s">
        <v>2347</v>
      </c>
      <c r="E424" s="19" t="s">
        <v>2348</v>
      </c>
      <c r="F424" s="19" t="s">
        <v>2350</v>
      </c>
      <c r="G424" s="20">
        <v>2420.41</v>
      </c>
      <c r="H424" s="5">
        <v>2.0</v>
      </c>
      <c r="I424" s="20">
        <v>4840.82</v>
      </c>
      <c r="J424" s="2" t="s">
        <v>1338</v>
      </c>
      <c r="K424" s="2" t="s">
        <v>1339</v>
      </c>
      <c r="L424" s="2" t="s">
        <v>1340</v>
      </c>
    </row>
    <row r="425" ht="15.75" customHeight="1">
      <c r="A425" s="13">
        <v>45617.0</v>
      </c>
      <c r="B425" s="2" t="s">
        <v>57</v>
      </c>
      <c r="C425" s="2" t="str">
        <f t="shared" si="2"/>
        <v>Guadalajara</v>
      </c>
      <c r="D425" s="19" t="s">
        <v>2351</v>
      </c>
      <c r="E425" s="19" t="s">
        <v>2357</v>
      </c>
      <c r="F425" s="19" t="s">
        <v>2346</v>
      </c>
      <c r="G425" s="20">
        <v>495.51</v>
      </c>
      <c r="H425" s="5">
        <v>2.0</v>
      </c>
      <c r="I425" s="20">
        <v>991.02</v>
      </c>
      <c r="J425" s="2" t="s">
        <v>1341</v>
      </c>
      <c r="K425" s="2" t="s">
        <v>1342</v>
      </c>
      <c r="L425" s="2" t="s">
        <v>1343</v>
      </c>
    </row>
    <row r="426" ht="15.75" customHeight="1">
      <c r="A426" s="13">
        <v>45617.0</v>
      </c>
      <c r="B426" s="3" t="s">
        <v>9</v>
      </c>
      <c r="C426" s="2" t="str">
        <f t="shared" si="2"/>
        <v>Monterrey</v>
      </c>
      <c r="D426" s="19" t="s">
        <v>2351</v>
      </c>
      <c r="E426" s="19" t="s">
        <v>2354</v>
      </c>
      <c r="F426" s="19" t="s">
        <v>2342</v>
      </c>
      <c r="G426" s="20">
        <v>299.66</v>
      </c>
      <c r="H426" s="5">
        <v>3.0</v>
      </c>
      <c r="I426" s="20">
        <v>898.98</v>
      </c>
      <c r="J426" s="2" t="s">
        <v>1344</v>
      </c>
      <c r="K426" s="2" t="s">
        <v>1345</v>
      </c>
      <c r="L426" s="2" t="s">
        <v>1346</v>
      </c>
    </row>
    <row r="427" ht="15.75" customHeight="1">
      <c r="A427" s="13">
        <v>45617.0</v>
      </c>
      <c r="B427" s="3" t="s">
        <v>74</v>
      </c>
      <c r="C427" s="2" t="str">
        <f t="shared" si="2"/>
        <v>Cali</v>
      </c>
      <c r="D427" s="19" t="s">
        <v>2351</v>
      </c>
      <c r="E427" s="19" t="s">
        <v>2352</v>
      </c>
      <c r="F427" s="19" t="s">
        <v>2350</v>
      </c>
      <c r="G427" s="20">
        <v>510.78</v>
      </c>
      <c r="H427" s="5">
        <v>3.0</v>
      </c>
      <c r="I427" s="20">
        <v>1532.34</v>
      </c>
      <c r="J427" s="2" t="s">
        <v>1347</v>
      </c>
      <c r="K427" s="2" t="s">
        <v>1348</v>
      </c>
      <c r="L427" s="2" t="s">
        <v>1349</v>
      </c>
    </row>
    <row r="428" ht="15.75" customHeight="1">
      <c r="A428" s="13">
        <v>45617.0</v>
      </c>
      <c r="B428" s="2" t="s">
        <v>114</v>
      </c>
      <c r="C428" s="2" t="str">
        <f t="shared" si="2"/>
        <v>Guadalajara</v>
      </c>
      <c r="D428" s="19" t="s">
        <v>2343</v>
      </c>
      <c r="E428" s="19" t="s">
        <v>2353</v>
      </c>
      <c r="F428" s="19" t="s">
        <v>2345</v>
      </c>
      <c r="G428" s="20">
        <v>2399.53</v>
      </c>
      <c r="H428" s="5">
        <v>3.0</v>
      </c>
      <c r="I428" s="16">
        <f>G428*H428</f>
        <v>7198.59</v>
      </c>
      <c r="J428" s="2" t="s">
        <v>1350</v>
      </c>
      <c r="K428" s="2" t="s">
        <v>1351</v>
      </c>
      <c r="L428" s="2" t="s">
        <v>1352</v>
      </c>
    </row>
    <row r="429" ht="15.75" customHeight="1">
      <c r="A429" s="13">
        <v>45617.0</v>
      </c>
      <c r="B429" s="3" t="s">
        <v>74</v>
      </c>
      <c r="C429" s="2" t="str">
        <f t="shared" si="2"/>
        <v>Cali</v>
      </c>
      <c r="D429" s="19" t="s">
        <v>2340</v>
      </c>
      <c r="E429" s="19" t="s">
        <v>2341</v>
      </c>
      <c r="F429" s="19" t="s">
        <v>2346</v>
      </c>
      <c r="G429" s="16">
        <f>I429/H429</f>
        <v>2408.85</v>
      </c>
      <c r="H429" s="5">
        <v>4.0</v>
      </c>
      <c r="I429" s="20">
        <v>9635.4</v>
      </c>
      <c r="J429" s="2" t="s">
        <v>1353</v>
      </c>
      <c r="K429" s="2" t="s">
        <v>1354</v>
      </c>
      <c r="L429" s="2" t="s">
        <v>1355</v>
      </c>
    </row>
    <row r="430" ht="15.75" customHeight="1">
      <c r="A430" s="13">
        <v>45617.0</v>
      </c>
      <c r="B430" s="3" t="s">
        <v>9</v>
      </c>
      <c r="C430" s="2" t="str">
        <f t="shared" si="2"/>
        <v>Monterrey</v>
      </c>
      <c r="D430" s="19" t="s">
        <v>2351</v>
      </c>
      <c r="E430" s="19" t="s">
        <v>2352</v>
      </c>
      <c r="F430" s="19" t="s">
        <v>2342</v>
      </c>
      <c r="G430" s="20">
        <v>1944.02</v>
      </c>
      <c r="H430" s="5">
        <v>1.0</v>
      </c>
      <c r="I430" s="20">
        <v>1944.02</v>
      </c>
      <c r="J430" s="2" t="s">
        <v>1356</v>
      </c>
      <c r="K430" s="2" t="s">
        <v>1357</v>
      </c>
      <c r="L430" s="2" t="s">
        <v>1358</v>
      </c>
    </row>
    <row r="431" ht="15.75" customHeight="1">
      <c r="A431" s="13">
        <v>45617.0</v>
      </c>
      <c r="B431" s="3" t="s">
        <v>14</v>
      </c>
      <c r="C431" s="2" t="str">
        <f t="shared" si="2"/>
        <v>Bogotá</v>
      </c>
      <c r="D431" s="19" t="s">
        <v>2343</v>
      </c>
      <c r="E431" s="19" t="s">
        <v>2360</v>
      </c>
      <c r="F431" s="19" t="s">
        <v>2350</v>
      </c>
      <c r="G431" s="20">
        <v>1160.21</v>
      </c>
      <c r="H431" s="5">
        <v>2.0</v>
      </c>
      <c r="I431" s="20">
        <v>2320.42</v>
      </c>
      <c r="J431" s="2" t="s">
        <v>1359</v>
      </c>
      <c r="K431" s="2" t="s">
        <v>1360</v>
      </c>
      <c r="L431" s="2" t="s">
        <v>1361</v>
      </c>
    </row>
    <row r="432" ht="15.75" customHeight="1">
      <c r="A432" s="13">
        <v>45617.0</v>
      </c>
      <c r="B432" s="3" t="s">
        <v>29</v>
      </c>
      <c r="C432" s="2" t="str">
        <f t="shared" si="2"/>
        <v>Ciudad De Mexico</v>
      </c>
      <c r="D432" s="19" t="s">
        <v>2343</v>
      </c>
      <c r="E432" s="19" t="s">
        <v>2344</v>
      </c>
      <c r="F432" s="19" t="s">
        <v>2346</v>
      </c>
      <c r="G432" s="20">
        <v>536.87</v>
      </c>
      <c r="H432" s="5">
        <v>1.0</v>
      </c>
      <c r="I432" s="20">
        <v>536.87</v>
      </c>
      <c r="J432" s="2" t="s">
        <v>1362</v>
      </c>
      <c r="K432" s="2" t="s">
        <v>1363</v>
      </c>
      <c r="L432" s="2" t="s">
        <v>1364</v>
      </c>
    </row>
    <row r="433" ht="15.75" customHeight="1">
      <c r="A433" s="13">
        <v>45618.0</v>
      </c>
      <c r="B433" s="3" t="s">
        <v>29</v>
      </c>
      <c r="C433" s="2" t="str">
        <f t="shared" si="2"/>
        <v>Ciudad De Mexico</v>
      </c>
      <c r="D433" s="19" t="s">
        <v>2340</v>
      </c>
      <c r="E433" s="19" t="s">
        <v>2341</v>
      </c>
      <c r="F433" s="19" t="s">
        <v>2345</v>
      </c>
      <c r="G433" s="20">
        <v>416.62</v>
      </c>
      <c r="H433" s="5">
        <v>5.0</v>
      </c>
      <c r="I433" s="20">
        <v>2083.1</v>
      </c>
      <c r="J433" s="2" t="s">
        <v>1365</v>
      </c>
      <c r="K433" s="2" t="s">
        <v>1366</v>
      </c>
      <c r="L433" s="2" t="s">
        <v>1367</v>
      </c>
    </row>
    <row r="434" ht="15.75" customHeight="1">
      <c r="A434" s="13">
        <v>45618.0</v>
      </c>
      <c r="B434" s="2" t="s">
        <v>34</v>
      </c>
      <c r="C434" s="2" t="str">
        <f t="shared" si="2"/>
        <v>Medellín</v>
      </c>
      <c r="D434" s="19" t="s">
        <v>2347</v>
      </c>
      <c r="E434" s="19" t="s">
        <v>2348</v>
      </c>
      <c r="F434" s="19" t="s">
        <v>2350</v>
      </c>
      <c r="G434" s="20">
        <v>1175.45</v>
      </c>
      <c r="H434" s="5">
        <v>5.0</v>
      </c>
      <c r="I434" s="20">
        <v>5877.25</v>
      </c>
      <c r="J434" s="2" t="s">
        <v>1368</v>
      </c>
      <c r="K434" s="2" t="s">
        <v>1369</v>
      </c>
      <c r="L434" s="2" t="s">
        <v>1370</v>
      </c>
    </row>
    <row r="435" ht="15.75" customHeight="1">
      <c r="A435" s="13">
        <v>45618.0</v>
      </c>
      <c r="B435" s="3" t="s">
        <v>9</v>
      </c>
      <c r="C435" s="2" t="str">
        <f t="shared" si="2"/>
        <v>Monterrey</v>
      </c>
      <c r="D435" s="19" t="s">
        <v>2347</v>
      </c>
      <c r="E435" s="19" t="s">
        <v>2348</v>
      </c>
      <c r="F435" s="19" t="s">
        <v>2350</v>
      </c>
      <c r="G435" s="20">
        <v>1273.61</v>
      </c>
      <c r="H435" s="5">
        <v>4.0</v>
      </c>
      <c r="I435" s="20">
        <v>5094.44</v>
      </c>
      <c r="J435" s="2" t="s">
        <v>1371</v>
      </c>
      <c r="K435" s="2" t="s">
        <v>1372</v>
      </c>
      <c r="L435" s="2" t="s">
        <v>1373</v>
      </c>
    </row>
    <row r="436" ht="15.75" customHeight="1">
      <c r="A436" s="13">
        <v>45618.0</v>
      </c>
      <c r="B436" s="3" t="s">
        <v>74</v>
      </c>
      <c r="C436" s="2" t="str">
        <f t="shared" si="2"/>
        <v>Cali</v>
      </c>
      <c r="D436" s="19" t="s">
        <v>2340</v>
      </c>
      <c r="E436" s="19" t="s">
        <v>2341</v>
      </c>
      <c r="F436" s="19" t="s">
        <v>2345</v>
      </c>
      <c r="G436" s="20">
        <v>1402.66</v>
      </c>
      <c r="H436" s="5">
        <v>5.0</v>
      </c>
      <c r="I436" s="20">
        <v>7013.3</v>
      </c>
      <c r="J436" s="2" t="s">
        <v>1374</v>
      </c>
      <c r="K436" s="2" t="s">
        <v>1375</v>
      </c>
      <c r="L436" s="2" t="s">
        <v>1376</v>
      </c>
    </row>
    <row r="437" ht="15.75" customHeight="1">
      <c r="A437" s="13">
        <v>45618.0</v>
      </c>
      <c r="B437" s="3" t="s">
        <v>29</v>
      </c>
      <c r="C437" s="2" t="str">
        <f t="shared" si="2"/>
        <v>Ciudad De Mexico</v>
      </c>
      <c r="D437" s="19" t="s">
        <v>2340</v>
      </c>
      <c r="E437" s="19" t="s">
        <v>2341</v>
      </c>
      <c r="F437" s="19" t="s">
        <v>2342</v>
      </c>
      <c r="G437" s="20">
        <v>197.09</v>
      </c>
      <c r="H437" s="5">
        <v>3.0</v>
      </c>
      <c r="I437" s="20">
        <v>591.27</v>
      </c>
      <c r="J437" s="2" t="s">
        <v>1377</v>
      </c>
      <c r="K437" s="2" t="s">
        <v>1378</v>
      </c>
      <c r="L437" s="2" t="s">
        <v>1379</v>
      </c>
    </row>
    <row r="438" ht="15.75" customHeight="1">
      <c r="A438" s="13">
        <v>45618.0</v>
      </c>
      <c r="B438" s="2" t="s">
        <v>34</v>
      </c>
      <c r="C438" s="2" t="str">
        <f t="shared" si="2"/>
        <v>Medellín</v>
      </c>
      <c r="D438" s="19" t="s">
        <v>2347</v>
      </c>
      <c r="E438" s="19" t="s">
        <v>2348</v>
      </c>
      <c r="F438" s="19" t="s">
        <v>2350</v>
      </c>
      <c r="G438" s="20">
        <v>2135.79</v>
      </c>
      <c r="H438" s="5">
        <v>1.0</v>
      </c>
      <c r="I438" s="20">
        <v>2135.79</v>
      </c>
      <c r="J438" s="2" t="s">
        <v>1380</v>
      </c>
      <c r="K438" s="2" t="s">
        <v>1381</v>
      </c>
      <c r="L438" s="2" t="s">
        <v>1382</v>
      </c>
    </row>
    <row r="439" ht="15.75" customHeight="1">
      <c r="A439" s="13">
        <v>45618.0</v>
      </c>
      <c r="B439" s="3" t="s">
        <v>29</v>
      </c>
      <c r="C439" s="2" t="str">
        <f t="shared" si="2"/>
        <v>Ciudad De Mexico</v>
      </c>
      <c r="D439" s="19" t="s">
        <v>2347</v>
      </c>
      <c r="E439" s="19" t="s">
        <v>2356</v>
      </c>
      <c r="F439" s="19" t="s">
        <v>2346</v>
      </c>
      <c r="G439" s="20">
        <v>752.56</v>
      </c>
      <c r="H439" s="5">
        <v>2.0</v>
      </c>
      <c r="I439" s="20">
        <v>1505.12</v>
      </c>
      <c r="J439" s="2" t="s">
        <v>1383</v>
      </c>
      <c r="K439" s="2" t="s">
        <v>1384</v>
      </c>
      <c r="L439" s="2" t="s">
        <v>1385</v>
      </c>
    </row>
    <row r="440" ht="15.75" customHeight="1">
      <c r="A440" s="13">
        <v>45618.0</v>
      </c>
      <c r="B440" s="3" t="s">
        <v>14</v>
      </c>
      <c r="C440" s="2" t="str">
        <f t="shared" si="2"/>
        <v>Bogotá</v>
      </c>
      <c r="D440" s="19" t="s">
        <v>2347</v>
      </c>
      <c r="E440" s="19" t="s">
        <v>2358</v>
      </c>
      <c r="F440" s="19" t="s">
        <v>2346</v>
      </c>
      <c r="G440" s="20">
        <v>2198.02</v>
      </c>
      <c r="H440" s="5">
        <v>1.0</v>
      </c>
      <c r="I440" s="20">
        <v>2198.02</v>
      </c>
      <c r="J440" s="2" t="s">
        <v>1386</v>
      </c>
      <c r="K440" s="2" t="s">
        <v>1387</v>
      </c>
      <c r="L440" s="2" t="s">
        <v>1388</v>
      </c>
    </row>
    <row r="441" ht="15.75" customHeight="1">
      <c r="A441" s="13">
        <v>45618.0</v>
      </c>
      <c r="B441" s="3" t="s">
        <v>14</v>
      </c>
      <c r="C441" s="2" t="str">
        <f t="shared" si="2"/>
        <v>Bogotá</v>
      </c>
      <c r="D441" s="19" t="s">
        <v>2351</v>
      </c>
      <c r="E441" s="19" t="s">
        <v>2357</v>
      </c>
      <c r="F441" s="19" t="s">
        <v>2342</v>
      </c>
      <c r="G441" s="20">
        <v>342.64</v>
      </c>
      <c r="H441" s="5">
        <v>2.0</v>
      </c>
      <c r="I441" s="20">
        <v>685.28</v>
      </c>
      <c r="J441" s="2" t="s">
        <v>1389</v>
      </c>
      <c r="K441" s="2" t="s">
        <v>1390</v>
      </c>
      <c r="L441" s="2" t="s">
        <v>1391</v>
      </c>
    </row>
    <row r="442" ht="15.75" customHeight="1">
      <c r="A442" s="13">
        <v>45618.0</v>
      </c>
      <c r="B442" s="3" t="s">
        <v>9</v>
      </c>
      <c r="C442" s="2" t="str">
        <f t="shared" si="2"/>
        <v>Monterrey</v>
      </c>
      <c r="D442" s="19" t="s">
        <v>2347</v>
      </c>
      <c r="E442" s="19" t="s">
        <v>2358</v>
      </c>
      <c r="F442" s="19" t="s">
        <v>2342</v>
      </c>
      <c r="G442" s="20">
        <v>1249.46</v>
      </c>
      <c r="H442" s="5">
        <v>1.0</v>
      </c>
      <c r="I442" s="20">
        <v>1249.46</v>
      </c>
      <c r="J442" s="2" t="s">
        <v>1392</v>
      </c>
      <c r="K442" s="2" t="s">
        <v>1393</v>
      </c>
      <c r="L442" s="7" t="s">
        <v>1394</v>
      </c>
    </row>
    <row r="443" ht="15.75" customHeight="1">
      <c r="A443" s="13">
        <v>45618.0</v>
      </c>
      <c r="B443" s="2" t="s">
        <v>34</v>
      </c>
      <c r="C443" s="2" t="str">
        <f t="shared" si="2"/>
        <v>Medellín</v>
      </c>
      <c r="D443" s="19" t="s">
        <v>2343</v>
      </c>
      <c r="E443" s="19" t="s">
        <v>2344</v>
      </c>
      <c r="F443" s="19" t="s">
        <v>2345</v>
      </c>
      <c r="G443" s="20">
        <v>463.17</v>
      </c>
      <c r="H443" s="5">
        <v>3.0</v>
      </c>
      <c r="I443" s="20">
        <v>1389.51</v>
      </c>
      <c r="J443" s="2" t="s">
        <v>1395</v>
      </c>
      <c r="K443" s="2" t="s">
        <v>1396</v>
      </c>
      <c r="L443" s="2" t="s">
        <v>1397</v>
      </c>
    </row>
    <row r="444" ht="15.75" customHeight="1">
      <c r="A444" s="13">
        <v>45618.0</v>
      </c>
      <c r="B444" s="3" t="s">
        <v>14</v>
      </c>
      <c r="C444" s="2" t="str">
        <f t="shared" si="2"/>
        <v>Bogotá</v>
      </c>
      <c r="D444" s="19" t="s">
        <v>2340</v>
      </c>
      <c r="E444" s="19" t="s">
        <v>2341</v>
      </c>
      <c r="F444" s="19" t="s">
        <v>2342</v>
      </c>
      <c r="G444" s="20">
        <v>776.93</v>
      </c>
      <c r="H444" s="5">
        <v>1.0</v>
      </c>
      <c r="I444" s="20">
        <v>776.93</v>
      </c>
      <c r="J444" s="2" t="s">
        <v>1398</v>
      </c>
      <c r="K444" s="2" t="s">
        <v>1399</v>
      </c>
      <c r="L444" s="2" t="s">
        <v>1400</v>
      </c>
    </row>
    <row r="445" ht="15.75" customHeight="1">
      <c r="A445" s="13">
        <v>45619.0</v>
      </c>
      <c r="B445" s="3" t="s">
        <v>74</v>
      </c>
      <c r="C445" s="2" t="str">
        <f t="shared" si="2"/>
        <v>Cali</v>
      </c>
      <c r="D445" s="19" t="s">
        <v>2340</v>
      </c>
      <c r="E445" s="19" t="s">
        <v>2349</v>
      </c>
      <c r="F445" s="19" t="s">
        <v>2346</v>
      </c>
      <c r="G445" s="20">
        <v>405.62</v>
      </c>
      <c r="H445" s="5">
        <v>4.0</v>
      </c>
      <c r="I445" s="20">
        <v>1622.48</v>
      </c>
      <c r="J445" s="2" t="s">
        <v>1401</v>
      </c>
      <c r="K445" s="2" t="s">
        <v>1402</v>
      </c>
      <c r="L445" s="2" t="s">
        <v>1403</v>
      </c>
    </row>
    <row r="446" ht="15.75" customHeight="1">
      <c r="A446" s="13">
        <v>45619.0</v>
      </c>
      <c r="B446" s="2" t="s">
        <v>57</v>
      </c>
      <c r="C446" s="2" t="str">
        <f t="shared" si="2"/>
        <v>Guadalajara</v>
      </c>
      <c r="D446" s="19" t="s">
        <v>2347</v>
      </c>
      <c r="E446" s="19" t="s">
        <v>2348</v>
      </c>
      <c r="F446" s="19" t="s">
        <v>2342</v>
      </c>
      <c r="G446" s="16">
        <f>I446/H446</f>
        <v>1659.54</v>
      </c>
      <c r="H446" s="5">
        <v>3.0</v>
      </c>
      <c r="I446" s="20">
        <v>4978.62</v>
      </c>
      <c r="J446" s="2" t="s">
        <v>1404</v>
      </c>
      <c r="K446" s="2" t="s">
        <v>1405</v>
      </c>
      <c r="L446" s="7" t="s">
        <v>1406</v>
      </c>
    </row>
    <row r="447" ht="15.75" customHeight="1">
      <c r="A447" s="13">
        <v>45619.0</v>
      </c>
      <c r="B447" s="3" t="s">
        <v>29</v>
      </c>
      <c r="C447" s="2" t="str">
        <f t="shared" si="2"/>
        <v>Ciudad De Mexico</v>
      </c>
      <c r="D447" s="19" t="s">
        <v>2340</v>
      </c>
      <c r="E447" s="19" t="s">
        <v>2355</v>
      </c>
      <c r="F447" s="19" t="s">
        <v>2342</v>
      </c>
      <c r="G447" s="20">
        <v>1848.95</v>
      </c>
      <c r="H447" s="5">
        <v>3.0</v>
      </c>
      <c r="I447" s="20">
        <v>5546.85</v>
      </c>
      <c r="J447" s="2" t="s">
        <v>1407</v>
      </c>
      <c r="K447" s="2" t="s">
        <v>1408</v>
      </c>
      <c r="L447" s="2" t="s">
        <v>1409</v>
      </c>
    </row>
    <row r="448" ht="15.75" customHeight="1">
      <c r="A448" s="13">
        <v>45619.0</v>
      </c>
      <c r="B448" s="2" t="s">
        <v>57</v>
      </c>
      <c r="C448" s="2" t="str">
        <f t="shared" si="2"/>
        <v>Guadalajara</v>
      </c>
      <c r="D448" s="19" t="s">
        <v>2340</v>
      </c>
      <c r="E448" s="19" t="s">
        <v>2349</v>
      </c>
      <c r="F448" s="19" t="s">
        <v>2342</v>
      </c>
      <c r="G448" s="20">
        <v>793.75</v>
      </c>
      <c r="H448" s="5">
        <v>1.0</v>
      </c>
      <c r="I448" s="20">
        <v>793.75</v>
      </c>
      <c r="J448" s="2" t="s">
        <v>1410</v>
      </c>
      <c r="K448" s="2" t="s">
        <v>1411</v>
      </c>
      <c r="L448" s="2" t="s">
        <v>1412</v>
      </c>
    </row>
    <row r="449" ht="15.75" customHeight="1">
      <c r="A449" s="13">
        <v>45619.0</v>
      </c>
      <c r="B449" s="3" t="s">
        <v>74</v>
      </c>
      <c r="C449" s="2" t="str">
        <f t="shared" si="2"/>
        <v>Cali</v>
      </c>
      <c r="D449" s="19" t="s">
        <v>2351</v>
      </c>
      <c r="E449" s="19" t="s">
        <v>2352</v>
      </c>
      <c r="F449" s="19" t="s">
        <v>2345</v>
      </c>
      <c r="G449" s="20">
        <v>919.27</v>
      </c>
      <c r="H449" s="5">
        <v>2.0</v>
      </c>
      <c r="I449" s="20">
        <v>1838.54</v>
      </c>
      <c r="J449" s="2" t="s">
        <v>1413</v>
      </c>
      <c r="K449" s="2" t="s">
        <v>1414</v>
      </c>
      <c r="L449" s="2" t="s">
        <v>1415</v>
      </c>
    </row>
    <row r="450" ht="15.75" customHeight="1">
      <c r="A450" s="13">
        <v>45619.0</v>
      </c>
      <c r="B450" s="3" t="s">
        <v>74</v>
      </c>
      <c r="C450" s="2" t="str">
        <f t="shared" si="2"/>
        <v>Cali</v>
      </c>
      <c r="D450" s="19" t="s">
        <v>2347</v>
      </c>
      <c r="E450" s="19" t="s">
        <v>2356</v>
      </c>
      <c r="F450" s="19" t="s">
        <v>2345</v>
      </c>
      <c r="G450" s="20">
        <v>807.71</v>
      </c>
      <c r="H450" s="5">
        <v>3.0</v>
      </c>
      <c r="I450" s="20">
        <v>2423.13</v>
      </c>
      <c r="J450" s="2" t="s">
        <v>1416</v>
      </c>
      <c r="K450" s="2" t="s">
        <v>1417</v>
      </c>
      <c r="L450" s="2" t="s">
        <v>1418</v>
      </c>
    </row>
    <row r="451" ht="15.75" customHeight="1">
      <c r="A451" s="13">
        <v>45619.0</v>
      </c>
      <c r="B451" s="3" t="s">
        <v>14</v>
      </c>
      <c r="C451" s="2" t="str">
        <f t="shared" si="2"/>
        <v>Bogotá</v>
      </c>
      <c r="D451" s="19" t="s">
        <v>2351</v>
      </c>
      <c r="E451" s="19" t="s">
        <v>2357</v>
      </c>
      <c r="F451" s="19" t="s">
        <v>2342</v>
      </c>
      <c r="G451" s="20">
        <v>1768.49</v>
      </c>
      <c r="H451" s="5">
        <v>2.0</v>
      </c>
      <c r="I451" s="20">
        <v>3536.98</v>
      </c>
      <c r="J451" s="2" t="s">
        <v>1419</v>
      </c>
      <c r="K451" s="2" t="s">
        <v>1420</v>
      </c>
      <c r="L451" s="2" t="s">
        <v>1421</v>
      </c>
    </row>
    <row r="452" ht="15.75" customHeight="1">
      <c r="A452" s="13">
        <v>45619.0</v>
      </c>
      <c r="B452" s="2" t="s">
        <v>34</v>
      </c>
      <c r="C452" s="2" t="str">
        <f t="shared" si="2"/>
        <v>Medellín</v>
      </c>
      <c r="D452" s="19" t="s">
        <v>2343</v>
      </c>
      <c r="E452" s="19" t="s">
        <v>2344</v>
      </c>
      <c r="F452" s="19" t="s">
        <v>2346</v>
      </c>
      <c r="G452" s="20">
        <v>2009.76</v>
      </c>
      <c r="H452" s="5">
        <v>1.0</v>
      </c>
      <c r="I452" s="20">
        <v>2009.76</v>
      </c>
      <c r="J452" s="2" t="s">
        <v>1422</v>
      </c>
      <c r="K452" s="2" t="s">
        <v>1423</v>
      </c>
      <c r="L452" s="2" t="s">
        <v>1424</v>
      </c>
    </row>
    <row r="453" ht="15.75" customHeight="1">
      <c r="A453" s="13">
        <v>45619.0</v>
      </c>
      <c r="B453" s="3" t="s">
        <v>74</v>
      </c>
      <c r="C453" s="2" t="str">
        <f t="shared" si="2"/>
        <v>Cali</v>
      </c>
      <c r="D453" s="19" t="s">
        <v>2340</v>
      </c>
      <c r="E453" s="19" t="s">
        <v>2349</v>
      </c>
      <c r="F453" s="19" t="s">
        <v>2346</v>
      </c>
      <c r="G453" s="20">
        <v>72.37</v>
      </c>
      <c r="H453" s="5">
        <v>4.0</v>
      </c>
      <c r="I453" s="20">
        <v>289.48</v>
      </c>
      <c r="J453" s="2" t="s">
        <v>1425</v>
      </c>
      <c r="K453" s="2" t="s">
        <v>1426</v>
      </c>
      <c r="L453" s="2" t="s">
        <v>1427</v>
      </c>
    </row>
    <row r="454" ht="15.75" customHeight="1">
      <c r="A454" s="13">
        <v>45620.0</v>
      </c>
      <c r="B454" s="3" t="s">
        <v>14</v>
      </c>
      <c r="C454" s="2" t="str">
        <f t="shared" si="2"/>
        <v>Bogotá</v>
      </c>
      <c r="D454" s="19" t="s">
        <v>2343</v>
      </c>
      <c r="E454" s="19" t="s">
        <v>2360</v>
      </c>
      <c r="F454" s="19" t="s">
        <v>2350</v>
      </c>
      <c r="G454" s="20">
        <v>443.81</v>
      </c>
      <c r="H454" s="5">
        <v>1.0</v>
      </c>
      <c r="I454" s="20">
        <v>443.81</v>
      </c>
      <c r="J454" s="2" t="s">
        <v>1428</v>
      </c>
      <c r="K454" s="2" t="s">
        <v>1429</v>
      </c>
      <c r="L454" s="7" t="s">
        <v>1430</v>
      </c>
    </row>
    <row r="455" ht="15.75" customHeight="1">
      <c r="A455" s="13">
        <v>45620.0</v>
      </c>
      <c r="B455" s="3" t="s">
        <v>9</v>
      </c>
      <c r="C455" s="2" t="str">
        <f t="shared" si="2"/>
        <v>Monterrey</v>
      </c>
      <c r="D455" s="19" t="s">
        <v>2351</v>
      </c>
      <c r="E455" s="19" t="s">
        <v>2352</v>
      </c>
      <c r="F455" s="19" t="s">
        <v>2350</v>
      </c>
      <c r="G455" s="20">
        <v>1628.77</v>
      </c>
      <c r="H455" s="5">
        <v>4.0</v>
      </c>
      <c r="I455" s="20">
        <v>6515.08</v>
      </c>
      <c r="J455" s="2" t="s">
        <v>1431</v>
      </c>
      <c r="K455" s="2" t="s">
        <v>1432</v>
      </c>
      <c r="L455" s="2" t="s">
        <v>1433</v>
      </c>
    </row>
    <row r="456" ht="15.75" customHeight="1">
      <c r="A456" s="13">
        <v>45620.0</v>
      </c>
      <c r="B456" s="3" t="s">
        <v>29</v>
      </c>
      <c r="C456" s="2" t="str">
        <f t="shared" si="2"/>
        <v>Ciudad De Mexico</v>
      </c>
      <c r="D456" s="19" t="s">
        <v>2343</v>
      </c>
      <c r="E456" s="19" t="s">
        <v>2353</v>
      </c>
      <c r="F456" s="19" t="s">
        <v>2345</v>
      </c>
      <c r="G456" s="20">
        <v>1752.21</v>
      </c>
      <c r="H456" s="5">
        <v>4.0</v>
      </c>
      <c r="I456" s="20">
        <v>7008.84</v>
      </c>
      <c r="J456" s="2" t="s">
        <v>1434</v>
      </c>
      <c r="K456" s="2" t="s">
        <v>1435</v>
      </c>
      <c r="L456" s="2" t="s">
        <v>1436</v>
      </c>
    </row>
    <row r="457" ht="15.75" customHeight="1">
      <c r="A457" s="13">
        <v>45620.0</v>
      </c>
      <c r="B457" s="3" t="s">
        <v>74</v>
      </c>
      <c r="C457" s="2" t="str">
        <f t="shared" si="2"/>
        <v>Cali</v>
      </c>
      <c r="D457" s="19" t="s">
        <v>2351</v>
      </c>
      <c r="E457" s="19" t="s">
        <v>2352</v>
      </c>
      <c r="F457" s="19" t="s">
        <v>2346</v>
      </c>
      <c r="G457" s="20">
        <v>649.99</v>
      </c>
      <c r="H457" s="5">
        <v>2.0</v>
      </c>
      <c r="I457" s="20">
        <v>1299.98</v>
      </c>
      <c r="J457" s="2" t="s">
        <v>1437</v>
      </c>
      <c r="K457" s="2" t="s">
        <v>1438</v>
      </c>
      <c r="L457" s="2" t="s">
        <v>1439</v>
      </c>
    </row>
    <row r="458" ht="15.75" customHeight="1">
      <c r="A458" s="13">
        <v>45620.0</v>
      </c>
      <c r="B458" s="3" t="s">
        <v>29</v>
      </c>
      <c r="C458" s="2" t="str">
        <f t="shared" si="2"/>
        <v>Ciudad De Mexico</v>
      </c>
      <c r="D458" s="19" t="s">
        <v>2351</v>
      </c>
      <c r="E458" s="19" t="s">
        <v>2354</v>
      </c>
      <c r="F458" s="19" t="s">
        <v>2350</v>
      </c>
      <c r="G458" s="20">
        <v>1768.85</v>
      </c>
      <c r="H458" s="5">
        <v>5.0</v>
      </c>
      <c r="I458" s="20">
        <v>8844.25</v>
      </c>
      <c r="J458" s="2" t="s">
        <v>1440</v>
      </c>
      <c r="K458" s="2" t="s">
        <v>1441</v>
      </c>
      <c r="L458" s="2" t="s">
        <v>1442</v>
      </c>
    </row>
    <row r="459" ht="15.75" customHeight="1">
      <c r="A459" s="13">
        <v>45620.0</v>
      </c>
      <c r="B459" s="3" t="s">
        <v>74</v>
      </c>
      <c r="C459" s="2" t="str">
        <f t="shared" si="2"/>
        <v>Cali</v>
      </c>
      <c r="D459" s="19" t="s">
        <v>2347</v>
      </c>
      <c r="E459" s="19" t="s">
        <v>2356</v>
      </c>
      <c r="F459" s="19" t="s">
        <v>2350</v>
      </c>
      <c r="G459" s="20">
        <v>103.69</v>
      </c>
      <c r="H459" s="5">
        <v>5.0</v>
      </c>
      <c r="I459" s="20">
        <v>518.45</v>
      </c>
      <c r="J459" s="2" t="s">
        <v>1443</v>
      </c>
      <c r="K459" s="2" t="s">
        <v>1444</v>
      </c>
      <c r="L459" s="2" t="s">
        <v>1445</v>
      </c>
    </row>
    <row r="460" ht="15.75" customHeight="1">
      <c r="A460" s="13">
        <v>45620.0</v>
      </c>
      <c r="B460" s="3" t="s">
        <v>14</v>
      </c>
      <c r="C460" s="2" t="str">
        <f t="shared" si="2"/>
        <v>Bogotá</v>
      </c>
      <c r="D460" s="19" t="s">
        <v>2340</v>
      </c>
      <c r="E460" s="19" t="s">
        <v>2355</v>
      </c>
      <c r="F460" s="19" t="s">
        <v>2350</v>
      </c>
      <c r="G460" s="20">
        <v>2028.12</v>
      </c>
      <c r="H460" s="5">
        <v>5.0</v>
      </c>
      <c r="I460" s="20">
        <v>10140.6</v>
      </c>
      <c r="J460" s="2" t="s">
        <v>1446</v>
      </c>
      <c r="K460" s="2" t="s">
        <v>1447</v>
      </c>
      <c r="L460" s="2" t="s">
        <v>1448</v>
      </c>
    </row>
    <row r="461" ht="15.75" customHeight="1">
      <c r="A461" s="13">
        <v>45620.0</v>
      </c>
      <c r="B461" s="3" t="s">
        <v>14</v>
      </c>
      <c r="C461" s="2" t="str">
        <f t="shared" si="2"/>
        <v>Bogotá</v>
      </c>
      <c r="D461" s="19" t="s">
        <v>2340</v>
      </c>
      <c r="E461" s="19" t="s">
        <v>2355</v>
      </c>
      <c r="F461" s="19" t="s">
        <v>2350</v>
      </c>
      <c r="G461" s="20">
        <v>428.02</v>
      </c>
      <c r="H461" s="5">
        <v>3.0</v>
      </c>
      <c r="I461" s="20">
        <v>1284.06</v>
      </c>
      <c r="J461" s="2" t="s">
        <v>1449</v>
      </c>
      <c r="K461" s="2" t="s">
        <v>1450</v>
      </c>
      <c r="L461" s="2" t="s">
        <v>1451</v>
      </c>
    </row>
    <row r="462" ht="15.75" customHeight="1">
      <c r="A462" s="13">
        <v>45620.0</v>
      </c>
      <c r="B462" s="3" t="s">
        <v>9</v>
      </c>
      <c r="C462" s="2" t="str">
        <f t="shared" si="2"/>
        <v>Monterrey</v>
      </c>
      <c r="D462" s="19" t="s">
        <v>2347</v>
      </c>
      <c r="E462" s="19" t="s">
        <v>2348</v>
      </c>
      <c r="F462" s="19" t="s">
        <v>2350</v>
      </c>
      <c r="G462" s="20">
        <v>1880.14</v>
      </c>
      <c r="H462" s="5">
        <v>1.0</v>
      </c>
      <c r="I462" s="20">
        <v>1880.14</v>
      </c>
      <c r="J462" s="2" t="s">
        <v>1452</v>
      </c>
      <c r="K462" s="2" t="s">
        <v>1453</v>
      </c>
      <c r="L462" s="2" t="s">
        <v>1454</v>
      </c>
    </row>
    <row r="463" ht="15.75" customHeight="1">
      <c r="A463" s="13">
        <v>45621.0</v>
      </c>
      <c r="B463" s="2" t="s">
        <v>34</v>
      </c>
      <c r="C463" s="2" t="str">
        <f t="shared" si="2"/>
        <v>Medellín</v>
      </c>
      <c r="D463" s="19" t="s">
        <v>2343</v>
      </c>
      <c r="E463" s="19" t="s">
        <v>2344</v>
      </c>
      <c r="F463" s="19" t="s">
        <v>2346</v>
      </c>
      <c r="G463" s="20">
        <v>1061.61</v>
      </c>
      <c r="H463" s="5">
        <v>1.0</v>
      </c>
      <c r="I463" s="20">
        <v>1061.61</v>
      </c>
      <c r="J463" s="2" t="s">
        <v>1455</v>
      </c>
      <c r="K463" s="2" t="s">
        <v>1456</v>
      </c>
      <c r="L463" s="2" t="s">
        <v>1457</v>
      </c>
    </row>
    <row r="464" ht="15.75" customHeight="1">
      <c r="A464" s="13">
        <v>45621.0</v>
      </c>
      <c r="B464" s="2" t="s">
        <v>57</v>
      </c>
      <c r="C464" s="2" t="str">
        <f t="shared" si="2"/>
        <v>Guadalajara</v>
      </c>
      <c r="D464" s="19" t="s">
        <v>2343</v>
      </c>
      <c r="E464" s="19" t="s">
        <v>2353</v>
      </c>
      <c r="F464" s="19" t="s">
        <v>2346</v>
      </c>
      <c r="G464" s="20">
        <v>564.69</v>
      </c>
      <c r="H464" s="5">
        <v>2.0</v>
      </c>
      <c r="I464" s="20">
        <v>1129.38</v>
      </c>
      <c r="J464" s="2" t="s">
        <v>1458</v>
      </c>
      <c r="K464" s="2" t="s">
        <v>1459</v>
      </c>
      <c r="L464" s="2" t="s">
        <v>1460</v>
      </c>
    </row>
    <row r="465" ht="15.75" customHeight="1">
      <c r="A465" s="13">
        <v>45621.0</v>
      </c>
      <c r="B465" s="3" t="s">
        <v>14</v>
      </c>
      <c r="C465" s="2" t="str">
        <f t="shared" si="2"/>
        <v>Bogotá</v>
      </c>
      <c r="D465" s="22" t="s">
        <v>2347</v>
      </c>
      <c r="E465" s="19" t="s">
        <v>2356</v>
      </c>
      <c r="F465" s="19" t="s">
        <v>2342</v>
      </c>
      <c r="G465" s="20">
        <v>1847.8</v>
      </c>
      <c r="H465" s="5">
        <v>3.0</v>
      </c>
      <c r="I465" s="20">
        <v>5543.4</v>
      </c>
      <c r="J465" s="2" t="s">
        <v>1461</v>
      </c>
      <c r="K465" s="2" t="s">
        <v>1462</v>
      </c>
      <c r="L465" s="2" t="s">
        <v>1463</v>
      </c>
    </row>
    <row r="466" ht="15.75" customHeight="1">
      <c r="A466" s="13">
        <v>45621.0</v>
      </c>
      <c r="B466" s="3" t="s">
        <v>74</v>
      </c>
      <c r="C466" s="2" t="str">
        <f t="shared" si="2"/>
        <v>Cali</v>
      </c>
      <c r="D466" s="19" t="s">
        <v>2343</v>
      </c>
      <c r="E466" s="19" t="s">
        <v>2344</v>
      </c>
      <c r="F466" s="19" t="s">
        <v>2346</v>
      </c>
      <c r="G466" s="20">
        <v>2476.21</v>
      </c>
      <c r="H466" s="5">
        <v>5.0</v>
      </c>
      <c r="I466" s="20">
        <v>12381.05</v>
      </c>
      <c r="J466" s="2" t="s">
        <v>1464</v>
      </c>
      <c r="K466" s="2" t="s">
        <v>1465</v>
      </c>
      <c r="L466" s="2" t="s">
        <v>1466</v>
      </c>
    </row>
    <row r="467" ht="15.75" customHeight="1">
      <c r="A467" s="13">
        <v>45621.0</v>
      </c>
      <c r="B467" s="3" t="s">
        <v>9</v>
      </c>
      <c r="C467" s="2" t="str">
        <f t="shared" si="2"/>
        <v>Monterrey</v>
      </c>
      <c r="D467" s="19" t="s">
        <v>2343</v>
      </c>
      <c r="E467" s="19" t="s">
        <v>2344</v>
      </c>
      <c r="F467" s="19" t="s">
        <v>2345</v>
      </c>
      <c r="G467" s="20">
        <v>1155.26</v>
      </c>
      <c r="H467" s="5">
        <v>4.0</v>
      </c>
      <c r="I467" s="20">
        <v>4621.04</v>
      </c>
      <c r="J467" s="2" t="s">
        <v>1468</v>
      </c>
      <c r="K467" s="2" t="s">
        <v>1469</v>
      </c>
      <c r="L467" s="2" t="s">
        <v>1470</v>
      </c>
    </row>
    <row r="468" ht="15.75" customHeight="1">
      <c r="A468" s="13">
        <v>45621.0</v>
      </c>
      <c r="B468" s="3" t="s">
        <v>29</v>
      </c>
      <c r="C468" s="2" t="str">
        <f t="shared" si="2"/>
        <v>Ciudad De Mexico</v>
      </c>
      <c r="D468" s="19" t="s">
        <v>2340</v>
      </c>
      <c r="E468" s="19" t="s">
        <v>2349</v>
      </c>
      <c r="F468" s="19" t="s">
        <v>2350</v>
      </c>
      <c r="G468" s="20">
        <v>1022.39</v>
      </c>
      <c r="H468" s="5">
        <v>2.0</v>
      </c>
      <c r="I468" s="20">
        <v>2044.78</v>
      </c>
      <c r="J468" s="2" t="s">
        <v>1471</v>
      </c>
      <c r="K468" s="2" t="s">
        <v>1472</v>
      </c>
      <c r="L468" s="2" t="s">
        <v>1473</v>
      </c>
    </row>
    <row r="469" ht="15.75" customHeight="1">
      <c r="A469" s="13">
        <v>45621.0</v>
      </c>
      <c r="B469" s="3" t="s">
        <v>29</v>
      </c>
      <c r="C469" s="2" t="str">
        <f t="shared" si="2"/>
        <v>Ciudad De Mexico</v>
      </c>
      <c r="D469" s="19" t="s">
        <v>2340</v>
      </c>
      <c r="E469" s="19" t="s">
        <v>2349</v>
      </c>
      <c r="F469" s="19" t="s">
        <v>2346</v>
      </c>
      <c r="G469" s="20">
        <v>110.53</v>
      </c>
      <c r="H469" s="5">
        <v>5.0</v>
      </c>
      <c r="I469" s="20">
        <v>552.65</v>
      </c>
      <c r="J469" s="2" t="s">
        <v>1474</v>
      </c>
      <c r="K469" s="2" t="s">
        <v>1475</v>
      </c>
      <c r="L469" s="2" t="s">
        <v>1476</v>
      </c>
    </row>
    <row r="470" ht="15.75" customHeight="1">
      <c r="A470" s="13">
        <v>45621.0</v>
      </c>
      <c r="B470" s="2" t="s">
        <v>34</v>
      </c>
      <c r="C470" s="2" t="str">
        <f t="shared" si="2"/>
        <v>Medellín</v>
      </c>
      <c r="D470" s="22" t="s">
        <v>2347</v>
      </c>
      <c r="E470" s="19" t="s">
        <v>2356</v>
      </c>
      <c r="F470" s="19" t="s">
        <v>2342</v>
      </c>
      <c r="G470" s="20">
        <v>1453.6</v>
      </c>
      <c r="H470" s="5">
        <v>4.0</v>
      </c>
      <c r="I470" s="20">
        <v>5814.4</v>
      </c>
      <c r="J470" s="2" t="s">
        <v>1477</v>
      </c>
      <c r="K470" s="2" t="s">
        <v>1478</v>
      </c>
      <c r="L470" s="2" t="s">
        <v>1479</v>
      </c>
    </row>
    <row r="471" ht="15.75" customHeight="1">
      <c r="A471" s="13">
        <v>45621.0</v>
      </c>
      <c r="B471" s="2" t="s">
        <v>34</v>
      </c>
      <c r="C471" s="2" t="str">
        <f t="shared" si="2"/>
        <v>Medellín</v>
      </c>
      <c r="D471" s="19" t="s">
        <v>2343</v>
      </c>
      <c r="E471" s="19" t="s">
        <v>2353</v>
      </c>
      <c r="F471" s="19" t="s">
        <v>2342</v>
      </c>
      <c r="G471" s="20">
        <v>2062.25</v>
      </c>
      <c r="H471" s="5">
        <v>3.0</v>
      </c>
      <c r="I471" s="20">
        <v>6186.75</v>
      </c>
      <c r="J471" s="2" t="s">
        <v>1480</v>
      </c>
      <c r="K471" s="2" t="s">
        <v>1481</v>
      </c>
      <c r="L471" s="2" t="s">
        <v>1482</v>
      </c>
    </row>
    <row r="472" ht="15.75" customHeight="1">
      <c r="A472" s="13">
        <v>45621.0</v>
      </c>
      <c r="B472" s="3" t="s">
        <v>9</v>
      </c>
      <c r="C472" s="2" t="str">
        <f t="shared" si="2"/>
        <v>Monterrey</v>
      </c>
      <c r="D472" s="19" t="s">
        <v>2347</v>
      </c>
      <c r="E472" s="19" t="s">
        <v>2358</v>
      </c>
      <c r="F472" s="19" t="s">
        <v>2346</v>
      </c>
      <c r="G472" s="20">
        <v>1083.45</v>
      </c>
      <c r="H472" s="5">
        <v>5.0</v>
      </c>
      <c r="I472" s="20">
        <v>5417.25</v>
      </c>
      <c r="J472" s="2" t="s">
        <v>1483</v>
      </c>
      <c r="K472" s="2" t="s">
        <v>1484</v>
      </c>
      <c r="L472" s="2" t="s">
        <v>1485</v>
      </c>
    </row>
    <row r="473" ht="15.75" customHeight="1">
      <c r="A473" s="13">
        <v>45621.0</v>
      </c>
      <c r="B473" s="3" t="s">
        <v>14</v>
      </c>
      <c r="C473" s="2" t="str">
        <f t="shared" si="2"/>
        <v>Bogotá</v>
      </c>
      <c r="D473" s="19" t="s">
        <v>2340</v>
      </c>
      <c r="E473" s="19" t="s">
        <v>2355</v>
      </c>
      <c r="F473" s="19" t="s">
        <v>2350</v>
      </c>
      <c r="G473" s="20">
        <v>2488.53</v>
      </c>
      <c r="H473" s="5">
        <v>1.0</v>
      </c>
      <c r="I473" s="20">
        <v>2488.53</v>
      </c>
      <c r="J473" s="2" t="s">
        <v>1486</v>
      </c>
      <c r="K473" s="2" t="s">
        <v>1487</v>
      </c>
      <c r="L473" s="2" t="s">
        <v>1488</v>
      </c>
    </row>
    <row r="474" ht="15.75" customHeight="1">
      <c r="A474" s="13">
        <v>45621.0</v>
      </c>
      <c r="B474" s="3" t="s">
        <v>74</v>
      </c>
      <c r="C474" s="2" t="str">
        <f t="shared" si="2"/>
        <v>Cali</v>
      </c>
      <c r="D474" s="19" t="s">
        <v>2340</v>
      </c>
      <c r="E474" s="19" t="s">
        <v>2355</v>
      </c>
      <c r="F474" s="19" t="s">
        <v>2345</v>
      </c>
      <c r="G474" s="20">
        <v>2068.34</v>
      </c>
      <c r="H474" s="5">
        <v>2.0</v>
      </c>
      <c r="I474" s="20">
        <v>4136.68</v>
      </c>
      <c r="J474" s="2" t="s">
        <v>1489</v>
      </c>
      <c r="K474" s="2" t="s">
        <v>1490</v>
      </c>
      <c r="L474" s="2" t="s">
        <v>1491</v>
      </c>
    </row>
    <row r="475" ht="15.75" customHeight="1">
      <c r="A475" s="13">
        <v>45621.0</v>
      </c>
      <c r="B475" s="3" t="s">
        <v>14</v>
      </c>
      <c r="C475" s="2" t="str">
        <f t="shared" si="2"/>
        <v>Bogotá</v>
      </c>
      <c r="D475" s="19" t="s">
        <v>2347</v>
      </c>
      <c r="E475" s="19" t="s">
        <v>2358</v>
      </c>
      <c r="F475" s="19" t="s">
        <v>2350</v>
      </c>
      <c r="G475" s="20">
        <v>1390.26</v>
      </c>
      <c r="H475" s="5">
        <v>1.0</v>
      </c>
      <c r="I475" s="20">
        <v>1390.26</v>
      </c>
      <c r="J475" s="2" t="s">
        <v>1492</v>
      </c>
      <c r="K475" s="2" t="s">
        <v>1493</v>
      </c>
      <c r="L475" s="2" t="s">
        <v>1494</v>
      </c>
    </row>
    <row r="476" ht="15.75" customHeight="1">
      <c r="A476" s="13">
        <v>45621.0</v>
      </c>
      <c r="B476" s="3" t="s">
        <v>29</v>
      </c>
      <c r="C476" s="2" t="str">
        <f t="shared" si="2"/>
        <v>Ciudad De Mexico</v>
      </c>
      <c r="D476" s="19" t="s">
        <v>2343</v>
      </c>
      <c r="E476" s="19" t="s">
        <v>2353</v>
      </c>
      <c r="F476" s="19" t="s">
        <v>2342</v>
      </c>
      <c r="G476" s="20">
        <v>1438.41</v>
      </c>
      <c r="H476" s="5">
        <v>4.0</v>
      </c>
      <c r="I476" s="20">
        <v>5753.64</v>
      </c>
      <c r="J476" s="2" t="s">
        <v>1495</v>
      </c>
      <c r="K476" s="2" t="s">
        <v>1496</v>
      </c>
      <c r="L476" s="2" t="s">
        <v>1497</v>
      </c>
    </row>
    <row r="477" ht="15.75" customHeight="1">
      <c r="A477" s="13">
        <v>45622.0</v>
      </c>
      <c r="B477" s="3" t="s">
        <v>9</v>
      </c>
      <c r="C477" s="2" t="str">
        <f t="shared" si="2"/>
        <v>Monterrey</v>
      </c>
      <c r="D477" s="19" t="s">
        <v>2340</v>
      </c>
      <c r="E477" s="19" t="s">
        <v>2341</v>
      </c>
      <c r="F477" s="19" t="s">
        <v>2345</v>
      </c>
      <c r="G477" s="20">
        <v>2229.46</v>
      </c>
      <c r="H477" s="5">
        <v>3.0</v>
      </c>
      <c r="I477" s="20">
        <v>6688.38</v>
      </c>
      <c r="J477" s="2" t="s">
        <v>1498</v>
      </c>
      <c r="K477" s="2" t="s">
        <v>1499</v>
      </c>
      <c r="L477" s="2" t="s">
        <v>1500</v>
      </c>
    </row>
    <row r="478" ht="15.75" customHeight="1">
      <c r="A478" s="13">
        <v>45622.0</v>
      </c>
      <c r="B478" s="2" t="s">
        <v>34</v>
      </c>
      <c r="C478" s="2" t="str">
        <f t="shared" si="2"/>
        <v>Medellín</v>
      </c>
      <c r="D478" s="19" t="s">
        <v>2340</v>
      </c>
      <c r="E478" s="19" t="s">
        <v>2355</v>
      </c>
      <c r="F478" s="19" t="s">
        <v>2350</v>
      </c>
      <c r="G478" s="20">
        <v>324.09</v>
      </c>
      <c r="H478" s="5">
        <v>2.0</v>
      </c>
      <c r="I478" s="20">
        <v>648.18</v>
      </c>
      <c r="J478" s="2" t="s">
        <v>1501</v>
      </c>
      <c r="K478" s="2" t="s">
        <v>1502</v>
      </c>
      <c r="L478" s="2" t="s">
        <v>1503</v>
      </c>
    </row>
    <row r="479" ht="15.75" customHeight="1">
      <c r="A479" s="13">
        <v>45622.0</v>
      </c>
      <c r="B479" s="3" t="s">
        <v>74</v>
      </c>
      <c r="C479" s="2" t="str">
        <f t="shared" si="2"/>
        <v>Cali</v>
      </c>
      <c r="D479" s="19" t="s">
        <v>2340</v>
      </c>
      <c r="E479" s="19" t="s">
        <v>2349</v>
      </c>
      <c r="F479" s="19" t="s">
        <v>2342</v>
      </c>
      <c r="G479" s="20">
        <v>664.21</v>
      </c>
      <c r="H479" s="5">
        <v>1.0</v>
      </c>
      <c r="I479" s="20">
        <v>664.21</v>
      </c>
      <c r="J479" s="2" t="s">
        <v>1504</v>
      </c>
      <c r="K479" s="2" t="s">
        <v>1505</v>
      </c>
      <c r="L479" s="2" t="s">
        <v>1506</v>
      </c>
    </row>
    <row r="480" ht="15.75" customHeight="1">
      <c r="A480" s="13">
        <v>45622.0</v>
      </c>
      <c r="B480" s="3" t="s">
        <v>29</v>
      </c>
      <c r="C480" s="2" t="str">
        <f t="shared" si="2"/>
        <v>Ciudad De Mexico</v>
      </c>
      <c r="D480" s="19" t="s">
        <v>2343</v>
      </c>
      <c r="E480" s="19" t="s">
        <v>2360</v>
      </c>
      <c r="F480" s="19" t="s">
        <v>2350</v>
      </c>
      <c r="G480" s="20">
        <v>412.36</v>
      </c>
      <c r="H480" s="5">
        <v>4.0</v>
      </c>
      <c r="I480" s="20">
        <v>1649.44</v>
      </c>
      <c r="J480" s="2" t="s">
        <v>1507</v>
      </c>
      <c r="K480" s="2" t="s">
        <v>1508</v>
      </c>
      <c r="L480" s="2" t="s">
        <v>1509</v>
      </c>
    </row>
    <row r="481" ht="15.75" customHeight="1">
      <c r="A481" s="13">
        <v>45622.0</v>
      </c>
      <c r="B481" s="2" t="s">
        <v>34</v>
      </c>
      <c r="C481" s="2" t="str">
        <f t="shared" si="2"/>
        <v>Medellín</v>
      </c>
      <c r="D481" s="19" t="s">
        <v>2351</v>
      </c>
      <c r="E481" s="19" t="s">
        <v>2354</v>
      </c>
      <c r="F481" s="19" t="s">
        <v>2346</v>
      </c>
      <c r="G481" s="20">
        <v>1247.08</v>
      </c>
      <c r="H481" s="5">
        <v>1.0</v>
      </c>
      <c r="I481" s="20">
        <v>1247.08</v>
      </c>
      <c r="J481" s="2" t="s">
        <v>1510</v>
      </c>
      <c r="K481" s="2" t="s">
        <v>1511</v>
      </c>
      <c r="L481" s="2" t="s">
        <v>1512</v>
      </c>
    </row>
    <row r="482" ht="15.75" customHeight="1">
      <c r="A482" s="13">
        <v>45622.0</v>
      </c>
      <c r="B482" s="3" t="s">
        <v>14</v>
      </c>
      <c r="C482" s="2" t="str">
        <f t="shared" si="2"/>
        <v>Bogotá</v>
      </c>
      <c r="D482" s="19" t="s">
        <v>2347</v>
      </c>
      <c r="E482" s="19" t="s">
        <v>2348</v>
      </c>
      <c r="F482" s="19" t="s">
        <v>2346</v>
      </c>
      <c r="G482" s="20">
        <v>252.24</v>
      </c>
      <c r="H482" s="5">
        <v>5.0</v>
      </c>
      <c r="I482" s="20">
        <v>1261.2</v>
      </c>
      <c r="J482" s="2" t="s">
        <v>1513</v>
      </c>
      <c r="K482" s="2" t="s">
        <v>1514</v>
      </c>
      <c r="L482" s="2" t="s">
        <v>1515</v>
      </c>
    </row>
    <row r="483" ht="15.75" customHeight="1">
      <c r="A483" s="13">
        <v>45622.0</v>
      </c>
      <c r="B483" s="3" t="s">
        <v>29</v>
      </c>
      <c r="C483" s="2" t="str">
        <f t="shared" si="2"/>
        <v>Ciudad De Mexico</v>
      </c>
      <c r="D483" s="19" t="s">
        <v>2347</v>
      </c>
      <c r="E483" s="19" t="s">
        <v>2356</v>
      </c>
      <c r="F483" s="19" t="s">
        <v>2350</v>
      </c>
      <c r="G483" s="20">
        <v>1519.67</v>
      </c>
      <c r="H483" s="5">
        <v>4.0</v>
      </c>
      <c r="I483" s="20">
        <v>6078.68</v>
      </c>
      <c r="J483" s="2" t="s">
        <v>1516</v>
      </c>
      <c r="K483" s="2" t="s">
        <v>1517</v>
      </c>
      <c r="L483" s="2" t="s">
        <v>1518</v>
      </c>
    </row>
    <row r="484" ht="15.75" customHeight="1">
      <c r="A484" s="13">
        <v>45622.0</v>
      </c>
      <c r="B484" s="3" t="s">
        <v>14</v>
      </c>
      <c r="C484" s="2" t="str">
        <f t="shared" si="2"/>
        <v>Bogotá</v>
      </c>
      <c r="D484" s="19" t="s">
        <v>2343</v>
      </c>
      <c r="E484" s="19" t="s">
        <v>2344</v>
      </c>
      <c r="F484" s="19" t="s">
        <v>2350</v>
      </c>
      <c r="G484" s="20">
        <v>488.25</v>
      </c>
      <c r="H484" s="5">
        <v>5.0</v>
      </c>
      <c r="I484" s="20">
        <v>2441.25</v>
      </c>
      <c r="J484" s="2" t="s">
        <v>1519</v>
      </c>
      <c r="K484" s="2" t="s">
        <v>1520</v>
      </c>
      <c r="L484" s="2" t="s">
        <v>1521</v>
      </c>
    </row>
    <row r="485" ht="15.75" customHeight="1">
      <c r="A485" s="13">
        <v>45622.0</v>
      </c>
      <c r="B485" s="3" t="s">
        <v>14</v>
      </c>
      <c r="C485" s="2" t="str">
        <f t="shared" si="2"/>
        <v>Bogotá</v>
      </c>
      <c r="D485" s="19" t="s">
        <v>2347</v>
      </c>
      <c r="E485" s="19" t="s">
        <v>2356</v>
      </c>
      <c r="F485" s="19" t="s">
        <v>2345</v>
      </c>
      <c r="G485" s="20">
        <v>2210.34</v>
      </c>
      <c r="H485" s="5">
        <v>3.0</v>
      </c>
      <c r="I485" s="20">
        <v>6631.02</v>
      </c>
      <c r="J485" s="2" t="s">
        <v>1522</v>
      </c>
      <c r="K485" s="2" t="s">
        <v>1523</v>
      </c>
      <c r="L485" s="2" t="s">
        <v>1524</v>
      </c>
    </row>
    <row r="486" ht="15.75" customHeight="1">
      <c r="A486" s="13">
        <v>45622.0</v>
      </c>
      <c r="B486" s="3" t="s">
        <v>29</v>
      </c>
      <c r="C486" s="2" t="str">
        <f t="shared" si="2"/>
        <v>Ciudad De Mexico</v>
      </c>
      <c r="D486" s="19" t="s">
        <v>2351</v>
      </c>
      <c r="E486" s="19" t="s">
        <v>2352</v>
      </c>
      <c r="F486" s="19" t="s">
        <v>2342</v>
      </c>
      <c r="G486" s="20">
        <v>1892.73</v>
      </c>
      <c r="H486" s="5">
        <v>5.0</v>
      </c>
      <c r="I486" s="20">
        <v>9463.65</v>
      </c>
      <c r="J486" s="2" t="s">
        <v>1525</v>
      </c>
      <c r="K486" s="2" t="s">
        <v>1526</v>
      </c>
      <c r="L486" s="2" t="s">
        <v>1527</v>
      </c>
    </row>
    <row r="487" ht="15.75" customHeight="1">
      <c r="A487" s="13">
        <v>45623.0</v>
      </c>
      <c r="B487" s="3" t="s">
        <v>9</v>
      </c>
      <c r="C487" s="2" t="str">
        <f t="shared" si="2"/>
        <v>Monterrey</v>
      </c>
      <c r="D487" s="19" t="s">
        <v>2351</v>
      </c>
      <c r="E487" s="19" t="s">
        <v>2357</v>
      </c>
      <c r="F487" s="19" t="s">
        <v>2350</v>
      </c>
      <c r="G487" s="20">
        <v>788.6</v>
      </c>
      <c r="H487" s="5">
        <v>4.0</v>
      </c>
      <c r="I487" s="20">
        <v>3154.4</v>
      </c>
      <c r="J487" s="2" t="s">
        <v>1528</v>
      </c>
      <c r="K487" s="2" t="s">
        <v>1529</v>
      </c>
      <c r="L487" s="2" t="s">
        <v>1530</v>
      </c>
    </row>
    <row r="488" ht="15.75" customHeight="1">
      <c r="A488" s="13">
        <v>45623.0</v>
      </c>
      <c r="B488" s="2" t="s">
        <v>34</v>
      </c>
      <c r="C488" s="2" t="str">
        <f t="shared" si="2"/>
        <v>Medellín</v>
      </c>
      <c r="D488" s="19" t="s">
        <v>2347</v>
      </c>
      <c r="E488" s="19" t="s">
        <v>2356</v>
      </c>
      <c r="F488" s="19" t="s">
        <v>2345</v>
      </c>
      <c r="G488" s="20">
        <v>1219.75</v>
      </c>
      <c r="H488" s="5">
        <v>2.0</v>
      </c>
      <c r="I488" s="20">
        <v>2439.5</v>
      </c>
      <c r="J488" s="2" t="s">
        <v>1531</v>
      </c>
      <c r="K488" s="2" t="s">
        <v>1532</v>
      </c>
      <c r="L488" s="2" t="s">
        <v>1533</v>
      </c>
    </row>
    <row r="489" ht="15.75" customHeight="1">
      <c r="A489" s="13">
        <v>45623.0</v>
      </c>
      <c r="B489" s="3" t="s">
        <v>9</v>
      </c>
      <c r="C489" s="2" t="str">
        <f t="shared" si="2"/>
        <v>Monterrey</v>
      </c>
      <c r="D489" s="19" t="s">
        <v>2340</v>
      </c>
      <c r="E489" s="19" t="s">
        <v>2341</v>
      </c>
      <c r="F489" s="19" t="s">
        <v>2342</v>
      </c>
      <c r="G489" s="20">
        <v>2014.33</v>
      </c>
      <c r="H489" s="5">
        <v>4.0</v>
      </c>
      <c r="I489" s="20">
        <v>8057.32</v>
      </c>
      <c r="J489" s="2" t="s">
        <v>1534</v>
      </c>
      <c r="K489" s="2" t="s">
        <v>1535</v>
      </c>
      <c r="L489" s="2" t="s">
        <v>1536</v>
      </c>
    </row>
    <row r="490" ht="15.75" customHeight="1">
      <c r="A490" s="13">
        <v>45623.0</v>
      </c>
      <c r="B490" s="3" t="s">
        <v>29</v>
      </c>
      <c r="C490" s="2" t="str">
        <f t="shared" si="2"/>
        <v>Ciudad De Mexico</v>
      </c>
      <c r="D490" s="19" t="s">
        <v>2343</v>
      </c>
      <c r="E490" s="19" t="s">
        <v>2344</v>
      </c>
      <c r="F490" s="19" t="s">
        <v>2342</v>
      </c>
      <c r="G490" s="20">
        <v>1804.11</v>
      </c>
      <c r="H490" s="5">
        <v>4.0</v>
      </c>
      <c r="I490" s="20">
        <v>7216.44</v>
      </c>
      <c r="J490" s="2" t="s">
        <v>1537</v>
      </c>
      <c r="K490" s="2" t="s">
        <v>1538</v>
      </c>
      <c r="L490" s="2" t="s">
        <v>1539</v>
      </c>
    </row>
    <row r="491" ht="15.75" customHeight="1">
      <c r="A491" s="13">
        <v>45623.0</v>
      </c>
      <c r="B491" s="3" t="s">
        <v>14</v>
      </c>
      <c r="C491" s="2" t="str">
        <f t="shared" si="2"/>
        <v>Bogotá</v>
      </c>
      <c r="D491" s="19" t="s">
        <v>2351</v>
      </c>
      <c r="E491" s="19" t="s">
        <v>2357</v>
      </c>
      <c r="F491" s="19" t="s">
        <v>2342</v>
      </c>
      <c r="G491" s="20">
        <v>764.41</v>
      </c>
      <c r="H491" s="5">
        <v>3.0</v>
      </c>
      <c r="I491" s="20">
        <v>2293.23</v>
      </c>
      <c r="J491" s="2" t="s">
        <v>1540</v>
      </c>
      <c r="K491" s="2" t="s">
        <v>1541</v>
      </c>
      <c r="L491" s="2" t="s">
        <v>1542</v>
      </c>
    </row>
    <row r="492" ht="15.75" customHeight="1">
      <c r="A492" s="13">
        <v>45623.0</v>
      </c>
      <c r="B492" s="3" t="s">
        <v>9</v>
      </c>
      <c r="C492" s="2" t="str">
        <f t="shared" si="2"/>
        <v>Monterrey</v>
      </c>
      <c r="D492" s="19" t="s">
        <v>2343</v>
      </c>
      <c r="E492" s="19" t="s">
        <v>2344</v>
      </c>
      <c r="F492" s="19" t="s">
        <v>2345</v>
      </c>
      <c r="G492" s="20">
        <v>1713.18</v>
      </c>
      <c r="H492" s="5">
        <v>2.0</v>
      </c>
      <c r="I492" s="20">
        <v>3426.36</v>
      </c>
      <c r="J492" s="2" t="s">
        <v>1543</v>
      </c>
      <c r="K492" s="2" t="s">
        <v>1544</v>
      </c>
      <c r="L492" s="2" t="s">
        <v>1545</v>
      </c>
    </row>
    <row r="493" ht="15.75" customHeight="1">
      <c r="A493" s="13">
        <v>45623.0</v>
      </c>
      <c r="B493" s="3" t="s">
        <v>29</v>
      </c>
      <c r="C493" s="2" t="str">
        <f t="shared" si="2"/>
        <v>Ciudad De Mexico</v>
      </c>
      <c r="D493" s="19" t="s">
        <v>2340</v>
      </c>
      <c r="E493" s="19" t="s">
        <v>2341</v>
      </c>
      <c r="F493" s="19" t="s">
        <v>2350</v>
      </c>
      <c r="G493" s="20">
        <v>1160.86</v>
      </c>
      <c r="H493" s="5">
        <v>4.0</v>
      </c>
      <c r="I493" s="20">
        <v>4643.44</v>
      </c>
      <c r="J493" s="2" t="s">
        <v>1546</v>
      </c>
      <c r="K493" s="2" t="s">
        <v>1547</v>
      </c>
      <c r="L493" s="2" t="s">
        <v>1548</v>
      </c>
    </row>
    <row r="494" ht="15.75" customHeight="1">
      <c r="A494" s="13">
        <v>45623.0</v>
      </c>
      <c r="B494" s="2" t="s">
        <v>57</v>
      </c>
      <c r="C494" s="2" t="str">
        <f t="shared" si="2"/>
        <v>Guadalajara</v>
      </c>
      <c r="D494" s="19" t="s">
        <v>2343</v>
      </c>
      <c r="E494" s="19" t="s">
        <v>2359</v>
      </c>
      <c r="F494" s="19" t="s">
        <v>2346</v>
      </c>
      <c r="G494" s="20">
        <v>2160.65</v>
      </c>
      <c r="H494" s="5">
        <v>3.0</v>
      </c>
      <c r="I494" s="20">
        <v>6481.95</v>
      </c>
      <c r="J494" s="2" t="s">
        <v>1549</v>
      </c>
      <c r="K494" s="2" t="s">
        <v>1550</v>
      </c>
      <c r="L494" s="2" t="s">
        <v>1551</v>
      </c>
    </row>
    <row r="495" ht="15.75" customHeight="1">
      <c r="A495" s="13">
        <v>45624.0</v>
      </c>
      <c r="B495" s="3" t="s">
        <v>87</v>
      </c>
      <c r="C495" s="2" t="str">
        <f t="shared" si="2"/>
        <v>Tulum</v>
      </c>
      <c r="D495" s="19" t="s">
        <v>2347</v>
      </c>
      <c r="E495" s="19" t="s">
        <v>2348</v>
      </c>
      <c r="F495" s="19" t="s">
        <v>2346</v>
      </c>
      <c r="G495" s="20">
        <v>2297.62</v>
      </c>
      <c r="H495" s="5">
        <v>4.0</v>
      </c>
      <c r="I495" s="20">
        <v>9190.48</v>
      </c>
      <c r="J495" s="2" t="s">
        <v>1552</v>
      </c>
      <c r="K495" s="2" t="s">
        <v>1553</v>
      </c>
      <c r="L495" s="2" t="s">
        <v>1554</v>
      </c>
    </row>
    <row r="496" ht="15.75" customHeight="1">
      <c r="A496" s="13">
        <v>45624.0</v>
      </c>
      <c r="B496" s="3" t="s">
        <v>14</v>
      </c>
      <c r="C496" s="2" t="str">
        <f t="shared" si="2"/>
        <v>Bogotá</v>
      </c>
      <c r="D496" s="19" t="s">
        <v>2340</v>
      </c>
      <c r="E496" s="19" t="s">
        <v>2341</v>
      </c>
      <c r="F496" s="19" t="s">
        <v>2346</v>
      </c>
      <c r="G496" s="20">
        <v>1795.59</v>
      </c>
      <c r="H496" s="5">
        <v>5.0</v>
      </c>
      <c r="I496" s="20">
        <v>8977.95</v>
      </c>
      <c r="J496" s="2" t="s">
        <v>1555</v>
      </c>
      <c r="K496" s="2" t="s">
        <v>1556</v>
      </c>
      <c r="L496" s="7" t="s">
        <v>1557</v>
      </c>
    </row>
    <row r="497" ht="15.75" customHeight="1">
      <c r="A497" s="13">
        <v>45624.0</v>
      </c>
      <c r="B497" s="3" t="s">
        <v>29</v>
      </c>
      <c r="C497" s="2" t="str">
        <f t="shared" si="2"/>
        <v>Ciudad De Mexico</v>
      </c>
      <c r="D497" s="19" t="s">
        <v>2343</v>
      </c>
      <c r="E497" s="19" t="s">
        <v>2360</v>
      </c>
      <c r="F497" s="19" t="s">
        <v>2342</v>
      </c>
      <c r="G497" s="20">
        <v>2087.73</v>
      </c>
      <c r="H497" s="5">
        <v>1.0</v>
      </c>
      <c r="I497" s="16">
        <f>G497*H497</f>
        <v>2087.73</v>
      </c>
      <c r="J497" s="2" t="s">
        <v>1558</v>
      </c>
      <c r="K497" s="2" t="s">
        <v>1559</v>
      </c>
      <c r="L497" s="2" t="s">
        <v>1560</v>
      </c>
    </row>
    <row r="498" ht="15.75" customHeight="1">
      <c r="A498" s="13">
        <v>45624.0</v>
      </c>
      <c r="B498" s="3" t="s">
        <v>9</v>
      </c>
      <c r="C498" s="2" t="str">
        <f t="shared" si="2"/>
        <v>Monterrey</v>
      </c>
      <c r="D498" s="19" t="s">
        <v>2351</v>
      </c>
      <c r="E498" s="19" t="s">
        <v>2352</v>
      </c>
      <c r="F498" s="19" t="s">
        <v>2350</v>
      </c>
      <c r="G498" s="20">
        <v>1168.3</v>
      </c>
      <c r="H498" s="5">
        <v>3.0</v>
      </c>
      <c r="I498" s="20">
        <v>3504.9</v>
      </c>
      <c r="J498" s="2" t="s">
        <v>1561</v>
      </c>
      <c r="K498" s="2" t="s">
        <v>1562</v>
      </c>
      <c r="L498" s="2" t="s">
        <v>1563</v>
      </c>
    </row>
    <row r="499" ht="15.75" customHeight="1">
      <c r="A499" s="13">
        <v>45624.0</v>
      </c>
      <c r="B499" s="3" t="s">
        <v>9</v>
      </c>
      <c r="C499" s="2" t="str">
        <f t="shared" si="2"/>
        <v>Monterrey</v>
      </c>
      <c r="D499" s="19" t="s">
        <v>2343</v>
      </c>
      <c r="E499" s="19" t="s">
        <v>2353</v>
      </c>
      <c r="F499" s="19" t="s">
        <v>2345</v>
      </c>
      <c r="G499" s="20">
        <v>1654.16</v>
      </c>
      <c r="H499" s="5">
        <v>1.0</v>
      </c>
      <c r="I499" s="20">
        <v>1654.16</v>
      </c>
      <c r="J499" s="2" t="s">
        <v>1564</v>
      </c>
      <c r="K499" s="2" t="s">
        <v>1565</v>
      </c>
      <c r="L499" s="2" t="s">
        <v>1566</v>
      </c>
    </row>
    <row r="500" ht="15.75" customHeight="1">
      <c r="A500" s="13">
        <v>45624.0</v>
      </c>
      <c r="B500" s="3" t="s">
        <v>9</v>
      </c>
      <c r="C500" s="2" t="str">
        <f t="shared" si="2"/>
        <v>Monterrey</v>
      </c>
      <c r="D500" s="19" t="s">
        <v>2340</v>
      </c>
      <c r="E500" s="19" t="s">
        <v>2341</v>
      </c>
      <c r="F500" s="19" t="s">
        <v>2346</v>
      </c>
      <c r="G500" s="20">
        <v>563.92</v>
      </c>
      <c r="H500" s="5">
        <v>2.0</v>
      </c>
      <c r="I500" s="20">
        <v>1127.84</v>
      </c>
      <c r="J500" s="2" t="s">
        <v>1567</v>
      </c>
      <c r="K500" s="2" t="s">
        <v>1568</v>
      </c>
      <c r="L500" s="2" t="s">
        <v>1569</v>
      </c>
    </row>
    <row r="501" ht="15.75" customHeight="1">
      <c r="A501" s="13">
        <v>45624.0</v>
      </c>
      <c r="B501" s="3" t="s">
        <v>74</v>
      </c>
      <c r="C501" s="2" t="str">
        <f t="shared" si="2"/>
        <v>Cali</v>
      </c>
      <c r="D501" s="19" t="s">
        <v>2340</v>
      </c>
      <c r="E501" s="19" t="s">
        <v>2349</v>
      </c>
      <c r="F501" s="19" t="s">
        <v>2342</v>
      </c>
      <c r="G501" s="20">
        <v>684.7</v>
      </c>
      <c r="H501" s="5">
        <v>5.0</v>
      </c>
      <c r="I501" s="20">
        <v>3423.5</v>
      </c>
      <c r="J501" s="2" t="s">
        <v>1570</v>
      </c>
      <c r="K501" s="2" t="s">
        <v>1571</v>
      </c>
      <c r="L501" s="2" t="s">
        <v>1572</v>
      </c>
    </row>
    <row r="502" ht="15.75" customHeight="1">
      <c r="A502" s="13">
        <v>45624.0</v>
      </c>
      <c r="B502" s="2" t="s">
        <v>57</v>
      </c>
      <c r="C502" s="2" t="str">
        <f t="shared" si="2"/>
        <v>Guadalajara</v>
      </c>
      <c r="D502" s="19" t="s">
        <v>2343</v>
      </c>
      <c r="E502" s="19" t="s">
        <v>2353</v>
      </c>
      <c r="F502" s="19" t="s">
        <v>2350</v>
      </c>
      <c r="G502" s="20">
        <v>1496.64</v>
      </c>
      <c r="H502" s="5">
        <v>2.0</v>
      </c>
      <c r="I502" s="20">
        <v>2993.28</v>
      </c>
      <c r="J502" s="2" t="s">
        <v>1573</v>
      </c>
      <c r="K502" s="2" t="s">
        <v>1574</v>
      </c>
      <c r="L502" s="2" t="s">
        <v>1575</v>
      </c>
    </row>
    <row r="503" ht="15.75" customHeight="1">
      <c r="A503" s="13">
        <v>45625.0</v>
      </c>
      <c r="B503" s="2" t="s">
        <v>57</v>
      </c>
      <c r="C503" s="2" t="str">
        <f t="shared" si="2"/>
        <v>Guadalajara</v>
      </c>
      <c r="D503" s="19" t="s">
        <v>2340</v>
      </c>
      <c r="E503" s="19" t="s">
        <v>2341</v>
      </c>
      <c r="F503" s="19" t="s">
        <v>2350</v>
      </c>
      <c r="G503" s="20">
        <v>337.5</v>
      </c>
      <c r="H503" s="5">
        <v>5.0</v>
      </c>
      <c r="I503" s="20">
        <v>1687.5</v>
      </c>
      <c r="J503" s="2" t="s">
        <v>1576</v>
      </c>
      <c r="K503" s="2" t="s">
        <v>1577</v>
      </c>
      <c r="L503" s="7" t="s">
        <v>1578</v>
      </c>
    </row>
    <row r="504" ht="15.75" customHeight="1">
      <c r="A504" s="13">
        <v>45625.0</v>
      </c>
      <c r="B504" s="2" t="s">
        <v>57</v>
      </c>
      <c r="C504" s="2" t="str">
        <f t="shared" si="2"/>
        <v>Guadalajara</v>
      </c>
      <c r="D504" s="19" t="s">
        <v>2340</v>
      </c>
      <c r="E504" s="19" t="s">
        <v>2349</v>
      </c>
      <c r="F504" s="19" t="s">
        <v>2345</v>
      </c>
      <c r="G504" s="20">
        <v>251.95</v>
      </c>
      <c r="H504" s="5">
        <v>5.0</v>
      </c>
      <c r="I504" s="20">
        <v>1259.75</v>
      </c>
      <c r="J504" s="2" t="s">
        <v>1579</v>
      </c>
      <c r="K504" s="2" t="s">
        <v>1580</v>
      </c>
      <c r="L504" s="2" t="s">
        <v>1581</v>
      </c>
    </row>
    <row r="505" ht="15.75" customHeight="1">
      <c r="A505" s="13">
        <v>45625.0</v>
      </c>
      <c r="B505" s="3" t="s">
        <v>29</v>
      </c>
      <c r="C505" s="2" t="str">
        <f t="shared" si="2"/>
        <v>Ciudad De Mexico</v>
      </c>
      <c r="D505" s="19" t="s">
        <v>2343</v>
      </c>
      <c r="E505" s="19" t="s">
        <v>2344</v>
      </c>
      <c r="F505" s="19" t="s">
        <v>2346</v>
      </c>
      <c r="G505" s="20">
        <v>568.57</v>
      </c>
      <c r="H505" s="5">
        <v>3.0</v>
      </c>
      <c r="I505" s="20">
        <v>1705.71</v>
      </c>
      <c r="J505" s="2" t="s">
        <v>1582</v>
      </c>
      <c r="K505" s="2" t="s">
        <v>1583</v>
      </c>
      <c r="L505" s="2" t="s">
        <v>1584</v>
      </c>
    </row>
    <row r="506" ht="15.75" customHeight="1">
      <c r="A506" s="13">
        <v>45625.0</v>
      </c>
      <c r="B506" s="3" t="s">
        <v>9</v>
      </c>
      <c r="C506" s="2" t="str">
        <f t="shared" si="2"/>
        <v>Monterrey</v>
      </c>
      <c r="D506" s="19" t="s">
        <v>2351</v>
      </c>
      <c r="E506" s="19" t="s">
        <v>2357</v>
      </c>
      <c r="F506" s="19" t="s">
        <v>2350</v>
      </c>
      <c r="G506" s="20">
        <v>1491.36</v>
      </c>
      <c r="H506" s="5">
        <v>2.0</v>
      </c>
      <c r="I506" s="20">
        <v>2982.72</v>
      </c>
      <c r="J506" s="2" t="s">
        <v>1586</v>
      </c>
      <c r="K506" s="2" t="s">
        <v>1587</v>
      </c>
      <c r="L506" s="2" t="s">
        <v>1588</v>
      </c>
    </row>
    <row r="507" ht="15.75" customHeight="1">
      <c r="A507" s="13">
        <v>45625.0</v>
      </c>
      <c r="B507" s="3" t="s">
        <v>74</v>
      </c>
      <c r="C507" s="2" t="str">
        <f t="shared" si="2"/>
        <v>Cali</v>
      </c>
      <c r="D507" s="19" t="s">
        <v>2351</v>
      </c>
      <c r="E507" s="19" t="s">
        <v>2354</v>
      </c>
      <c r="F507" s="19" t="s">
        <v>2350</v>
      </c>
      <c r="G507" s="20">
        <v>1083.91</v>
      </c>
      <c r="H507" s="5">
        <v>3.0</v>
      </c>
      <c r="I507" s="20">
        <v>3251.73</v>
      </c>
      <c r="J507" s="2" t="s">
        <v>1589</v>
      </c>
      <c r="K507" s="2" t="s">
        <v>1590</v>
      </c>
      <c r="L507" s="2" t="s">
        <v>1591</v>
      </c>
    </row>
    <row r="508" ht="15.75" customHeight="1">
      <c r="A508" s="13">
        <v>45625.0</v>
      </c>
      <c r="B508" s="3" t="s">
        <v>9</v>
      </c>
      <c r="C508" s="2" t="str">
        <f t="shared" si="2"/>
        <v>Monterrey</v>
      </c>
      <c r="D508" s="19" t="s">
        <v>2340</v>
      </c>
      <c r="E508" s="19" t="s">
        <v>2341</v>
      </c>
      <c r="F508" s="19" t="s">
        <v>2342</v>
      </c>
      <c r="G508" s="20">
        <v>2254.91</v>
      </c>
      <c r="H508" s="5">
        <v>4.0</v>
      </c>
      <c r="I508" s="20">
        <v>9019.64</v>
      </c>
      <c r="J508" s="2" t="s">
        <v>1592</v>
      </c>
      <c r="K508" s="2" t="s">
        <v>1593</v>
      </c>
      <c r="L508" s="2" t="s">
        <v>1594</v>
      </c>
    </row>
    <row r="509" ht="15.75" customHeight="1">
      <c r="A509" s="13">
        <v>45625.0</v>
      </c>
      <c r="B509" s="3" t="s">
        <v>29</v>
      </c>
      <c r="C509" s="2" t="str">
        <f t="shared" si="2"/>
        <v>Ciudad De Mexico</v>
      </c>
      <c r="D509" s="19" t="s">
        <v>2351</v>
      </c>
      <c r="E509" s="19" t="s">
        <v>2352</v>
      </c>
      <c r="F509" s="19" t="s">
        <v>2345</v>
      </c>
      <c r="G509" s="20">
        <v>1615.43</v>
      </c>
      <c r="H509" s="5">
        <v>5.0</v>
      </c>
      <c r="I509" s="20">
        <v>8077.15</v>
      </c>
      <c r="J509" s="2" t="s">
        <v>1595</v>
      </c>
      <c r="K509" s="2" t="s">
        <v>1596</v>
      </c>
      <c r="L509" s="2" t="s">
        <v>1597</v>
      </c>
    </row>
    <row r="510" ht="15.75" customHeight="1">
      <c r="A510" s="13">
        <v>45625.0</v>
      </c>
      <c r="B510" s="3" t="s">
        <v>74</v>
      </c>
      <c r="C510" s="2" t="str">
        <f t="shared" si="2"/>
        <v>Cali</v>
      </c>
      <c r="D510" s="19" t="s">
        <v>2343</v>
      </c>
      <c r="E510" s="19" t="s">
        <v>2353</v>
      </c>
      <c r="F510" s="19" t="s">
        <v>2342</v>
      </c>
      <c r="G510" s="20">
        <v>411.02</v>
      </c>
      <c r="H510" s="5">
        <v>1.0</v>
      </c>
      <c r="I510" s="20">
        <v>411.02</v>
      </c>
      <c r="J510" s="2" t="s">
        <v>1598</v>
      </c>
      <c r="K510" s="2" t="s">
        <v>1599</v>
      </c>
      <c r="L510" s="2" t="s">
        <v>1600</v>
      </c>
    </row>
    <row r="511" ht="15.75" customHeight="1">
      <c r="A511" s="13">
        <v>45626.0</v>
      </c>
      <c r="B511" s="2" t="s">
        <v>57</v>
      </c>
      <c r="C511" s="2" t="str">
        <f t="shared" si="2"/>
        <v>Guadalajara</v>
      </c>
      <c r="D511" s="19" t="s">
        <v>2340</v>
      </c>
      <c r="E511" s="19" t="s">
        <v>2349</v>
      </c>
      <c r="F511" s="19" t="s">
        <v>2345</v>
      </c>
      <c r="G511" s="20">
        <v>1109.64</v>
      </c>
      <c r="H511" s="5">
        <v>3.0</v>
      </c>
      <c r="I511" s="16">
        <f>G511*H511</f>
        <v>3328.92</v>
      </c>
      <c r="J511" s="2" t="s">
        <v>1601</v>
      </c>
      <c r="K511" s="2" t="s">
        <v>1602</v>
      </c>
      <c r="L511" s="2" t="s">
        <v>1603</v>
      </c>
    </row>
    <row r="512" ht="15.75" customHeight="1">
      <c r="A512" s="13">
        <v>45626.0</v>
      </c>
      <c r="B512" s="2" t="s">
        <v>34</v>
      </c>
      <c r="C512" s="2" t="str">
        <f t="shared" si="2"/>
        <v>Medellín</v>
      </c>
      <c r="D512" s="19" t="s">
        <v>2351</v>
      </c>
      <c r="E512" s="19" t="s">
        <v>2352</v>
      </c>
      <c r="F512" s="19" t="s">
        <v>2346</v>
      </c>
      <c r="G512" s="20">
        <v>2256.04</v>
      </c>
      <c r="H512" s="5">
        <v>5.0</v>
      </c>
      <c r="I512" s="20">
        <v>11280.2</v>
      </c>
      <c r="J512" s="2" t="s">
        <v>1604</v>
      </c>
      <c r="K512" s="2" t="s">
        <v>1605</v>
      </c>
      <c r="L512" s="2" t="s">
        <v>1606</v>
      </c>
    </row>
    <row r="513" ht="15.75" customHeight="1">
      <c r="A513" s="13">
        <v>45626.0</v>
      </c>
      <c r="B513" s="3" t="s">
        <v>29</v>
      </c>
      <c r="C513" s="2" t="str">
        <f t="shared" si="2"/>
        <v>Ciudad De Mexico</v>
      </c>
      <c r="D513" s="19" t="s">
        <v>2351</v>
      </c>
      <c r="E513" s="19" t="s">
        <v>2357</v>
      </c>
      <c r="F513" s="19" t="s">
        <v>2345</v>
      </c>
      <c r="G513" s="20">
        <v>616.36</v>
      </c>
      <c r="H513" s="5">
        <v>4.0</v>
      </c>
      <c r="I513" s="20">
        <v>2465.44</v>
      </c>
      <c r="J513" s="2" t="s">
        <v>1607</v>
      </c>
      <c r="K513" s="2" t="s">
        <v>1608</v>
      </c>
      <c r="L513" s="2" t="s">
        <v>1609</v>
      </c>
    </row>
    <row r="514" ht="15.75" customHeight="1">
      <c r="A514" s="13">
        <v>45626.0</v>
      </c>
      <c r="B514" s="3" t="s">
        <v>9</v>
      </c>
      <c r="C514" s="2" t="str">
        <f t="shared" si="2"/>
        <v>Monterrey</v>
      </c>
      <c r="D514" s="19" t="s">
        <v>2340</v>
      </c>
      <c r="E514" s="19" t="s">
        <v>2341</v>
      </c>
      <c r="F514" s="19" t="s">
        <v>2350</v>
      </c>
      <c r="G514" s="20">
        <v>206.29</v>
      </c>
      <c r="H514" s="5">
        <v>4.0</v>
      </c>
      <c r="I514" s="20">
        <v>825.16</v>
      </c>
      <c r="J514" s="2" t="s">
        <v>1610</v>
      </c>
      <c r="K514" s="2" t="s">
        <v>1611</v>
      </c>
      <c r="L514" s="2" t="s">
        <v>1612</v>
      </c>
    </row>
    <row r="515" ht="15.75" customHeight="1">
      <c r="A515" s="13">
        <v>45626.0</v>
      </c>
      <c r="B515" s="2" t="s">
        <v>34</v>
      </c>
      <c r="C515" s="2" t="str">
        <f t="shared" si="2"/>
        <v>Medellín</v>
      </c>
      <c r="D515" s="19" t="s">
        <v>2343</v>
      </c>
      <c r="E515" s="19" t="s">
        <v>2344</v>
      </c>
      <c r="F515" s="19" t="s">
        <v>2342</v>
      </c>
      <c r="G515" s="20">
        <v>890.66</v>
      </c>
      <c r="H515" s="5">
        <v>1.0</v>
      </c>
      <c r="I515" s="20">
        <v>890.66</v>
      </c>
      <c r="J515" s="2" t="s">
        <v>1613</v>
      </c>
      <c r="K515" s="2" t="s">
        <v>1614</v>
      </c>
      <c r="L515" s="2" t="s">
        <v>1615</v>
      </c>
    </row>
    <row r="516" ht="15.75" customHeight="1">
      <c r="A516" s="13">
        <v>45626.0</v>
      </c>
      <c r="B516" s="3" t="s">
        <v>74</v>
      </c>
      <c r="C516" s="2" t="str">
        <f t="shared" si="2"/>
        <v>Cali</v>
      </c>
      <c r="D516" s="19" t="s">
        <v>2351</v>
      </c>
      <c r="E516" s="19" t="s">
        <v>2354</v>
      </c>
      <c r="F516" s="19" t="s">
        <v>2342</v>
      </c>
      <c r="G516" s="20">
        <v>1208.42</v>
      </c>
      <c r="H516" s="5">
        <v>3.0</v>
      </c>
      <c r="I516" s="20">
        <v>3625.26</v>
      </c>
      <c r="J516" s="2" t="s">
        <v>1616</v>
      </c>
      <c r="K516" s="2" t="s">
        <v>1617</v>
      </c>
      <c r="L516" s="2" t="s">
        <v>1618</v>
      </c>
    </row>
    <row r="517" ht="15.75" customHeight="1">
      <c r="A517" s="13">
        <v>45626.0</v>
      </c>
      <c r="B517" s="3" t="s">
        <v>9</v>
      </c>
      <c r="C517" s="2" t="str">
        <f t="shared" si="2"/>
        <v>Monterrey</v>
      </c>
      <c r="D517" s="19" t="s">
        <v>2340</v>
      </c>
      <c r="E517" s="19" t="s">
        <v>2349</v>
      </c>
      <c r="F517" s="19" t="s">
        <v>2350</v>
      </c>
      <c r="G517" s="20">
        <v>2148.99</v>
      </c>
      <c r="H517" s="5">
        <v>5.0</v>
      </c>
      <c r="I517" s="20">
        <v>10744.95</v>
      </c>
      <c r="J517" s="2" t="s">
        <v>1620</v>
      </c>
      <c r="K517" s="2" t="s">
        <v>1621</v>
      </c>
      <c r="L517" s="2" t="s">
        <v>1622</v>
      </c>
    </row>
    <row r="518" ht="15.75" customHeight="1">
      <c r="A518" s="13">
        <v>45626.0</v>
      </c>
      <c r="B518" s="2" t="s">
        <v>34</v>
      </c>
      <c r="C518" s="2" t="str">
        <f t="shared" si="2"/>
        <v>Medellín</v>
      </c>
      <c r="D518" s="19" t="s">
        <v>2351</v>
      </c>
      <c r="E518" s="19" t="s">
        <v>2352</v>
      </c>
      <c r="F518" s="19" t="s">
        <v>2350</v>
      </c>
      <c r="G518" s="20">
        <v>1560.05</v>
      </c>
      <c r="H518" s="5">
        <v>1.0</v>
      </c>
      <c r="I518" s="20">
        <v>1560.05</v>
      </c>
      <c r="J518" s="2" t="s">
        <v>1623</v>
      </c>
      <c r="K518" s="2" t="s">
        <v>1624</v>
      </c>
      <c r="L518" s="2" t="s">
        <v>1625</v>
      </c>
    </row>
    <row r="519" ht="15.75" customHeight="1">
      <c r="A519" s="13">
        <v>45627.0</v>
      </c>
      <c r="B519" s="2" t="s">
        <v>1626</v>
      </c>
      <c r="C519" s="2" t="s">
        <v>57</v>
      </c>
      <c r="D519" s="19" t="s">
        <v>2340</v>
      </c>
      <c r="E519" s="19" t="s">
        <v>2355</v>
      </c>
      <c r="F519" s="19" t="s">
        <v>2350</v>
      </c>
      <c r="G519" s="20">
        <v>1114.1</v>
      </c>
      <c r="H519" s="5">
        <v>3.0</v>
      </c>
      <c r="I519" s="20">
        <v>3342.3</v>
      </c>
      <c r="J519" s="2" t="s">
        <v>1627</v>
      </c>
      <c r="K519" s="2" t="s">
        <v>1628</v>
      </c>
      <c r="L519" s="2" t="s">
        <v>1629</v>
      </c>
    </row>
    <row r="520" ht="15.75" customHeight="1">
      <c r="A520" s="13">
        <v>45627.0</v>
      </c>
      <c r="B520" s="3" t="s">
        <v>29</v>
      </c>
      <c r="C520" s="2" t="str">
        <f t="shared" ref="C520:C754" si="3">PROPER(B520)</f>
        <v>Ciudad De Mexico</v>
      </c>
      <c r="D520" s="19" t="s">
        <v>2340</v>
      </c>
      <c r="E520" s="19" t="s">
        <v>2341</v>
      </c>
      <c r="F520" s="19" t="s">
        <v>2342</v>
      </c>
      <c r="G520" s="20">
        <v>2261.15</v>
      </c>
      <c r="H520" s="5">
        <v>1.0</v>
      </c>
      <c r="I520" s="20">
        <v>2261.15</v>
      </c>
      <c r="J520" s="2" t="s">
        <v>1630</v>
      </c>
      <c r="K520" s="2" t="s">
        <v>1631</v>
      </c>
      <c r="L520" s="2" t="s">
        <v>1632</v>
      </c>
    </row>
    <row r="521" ht="15.75" customHeight="1">
      <c r="A521" s="13">
        <v>45627.0</v>
      </c>
      <c r="B521" s="3" t="s">
        <v>29</v>
      </c>
      <c r="C521" s="2" t="str">
        <f t="shared" si="3"/>
        <v>Ciudad De Mexico</v>
      </c>
      <c r="D521" s="19" t="s">
        <v>2351</v>
      </c>
      <c r="E521" s="19" t="s">
        <v>2352</v>
      </c>
      <c r="F521" s="19" t="s">
        <v>2350</v>
      </c>
      <c r="G521" s="20">
        <v>157.89</v>
      </c>
      <c r="H521" s="5">
        <v>1.0</v>
      </c>
      <c r="I521" s="20">
        <v>157.89</v>
      </c>
      <c r="J521" s="2" t="s">
        <v>1633</v>
      </c>
      <c r="K521" s="2" t="s">
        <v>1634</v>
      </c>
      <c r="L521" s="2" t="s">
        <v>1635</v>
      </c>
    </row>
    <row r="522" ht="15.75" customHeight="1">
      <c r="A522" s="13">
        <v>45627.0</v>
      </c>
      <c r="B522" s="3" t="s">
        <v>14</v>
      </c>
      <c r="C522" s="2" t="str">
        <f t="shared" si="3"/>
        <v>Bogotá</v>
      </c>
      <c r="D522" s="19" t="s">
        <v>2343</v>
      </c>
      <c r="E522" s="19" t="s">
        <v>2359</v>
      </c>
      <c r="F522" s="19" t="s">
        <v>2346</v>
      </c>
      <c r="G522" s="20">
        <v>2060.35</v>
      </c>
      <c r="H522" s="5">
        <v>3.0</v>
      </c>
      <c r="I522" s="20">
        <v>6181.05</v>
      </c>
      <c r="J522" s="2" t="s">
        <v>1636</v>
      </c>
      <c r="K522" s="2" t="s">
        <v>1637</v>
      </c>
      <c r="L522" s="2" t="s">
        <v>1638</v>
      </c>
    </row>
    <row r="523" ht="15.75" customHeight="1">
      <c r="A523" s="13">
        <v>45628.0</v>
      </c>
      <c r="B523" s="2" t="s">
        <v>114</v>
      </c>
      <c r="C523" s="2" t="str">
        <f t="shared" si="3"/>
        <v>Guadalajara</v>
      </c>
      <c r="D523" s="19" t="s">
        <v>2340</v>
      </c>
      <c r="E523" s="19" t="s">
        <v>2355</v>
      </c>
      <c r="F523" s="19" t="s">
        <v>2346</v>
      </c>
      <c r="G523" s="20">
        <v>218.94</v>
      </c>
      <c r="H523" s="5">
        <v>3.0</v>
      </c>
      <c r="I523" s="20">
        <v>656.82</v>
      </c>
      <c r="J523" s="2" t="s">
        <v>1639</v>
      </c>
      <c r="K523" s="2" t="s">
        <v>1640</v>
      </c>
      <c r="L523" s="2" t="s">
        <v>1641</v>
      </c>
    </row>
    <row r="524" ht="15.75" customHeight="1">
      <c r="A524" s="13">
        <v>45628.0</v>
      </c>
      <c r="B524" s="3" t="s">
        <v>14</v>
      </c>
      <c r="C524" s="2" t="str">
        <f t="shared" si="3"/>
        <v>Bogotá</v>
      </c>
      <c r="D524" s="19" t="s">
        <v>2347</v>
      </c>
      <c r="E524" s="19" t="s">
        <v>2358</v>
      </c>
      <c r="F524" s="19" t="s">
        <v>2350</v>
      </c>
      <c r="G524" s="20">
        <v>78.53</v>
      </c>
      <c r="H524" s="5">
        <v>2.0</v>
      </c>
      <c r="I524" s="20">
        <v>157.06</v>
      </c>
      <c r="J524" s="2" t="s">
        <v>1642</v>
      </c>
      <c r="K524" s="2" t="s">
        <v>1643</v>
      </c>
      <c r="L524" s="2" t="s">
        <v>1644</v>
      </c>
    </row>
    <row r="525" ht="15.75" customHeight="1">
      <c r="A525" s="13">
        <v>45629.0</v>
      </c>
      <c r="B525" s="2" t="s">
        <v>34</v>
      </c>
      <c r="C525" s="2" t="str">
        <f t="shared" si="3"/>
        <v>Medellín</v>
      </c>
      <c r="D525" s="19" t="s">
        <v>2351</v>
      </c>
      <c r="E525" s="19" t="s">
        <v>2357</v>
      </c>
      <c r="F525" s="19" t="s">
        <v>2345</v>
      </c>
      <c r="G525" s="20">
        <v>2294.28</v>
      </c>
      <c r="H525" s="5">
        <v>1.0</v>
      </c>
      <c r="I525" s="20">
        <v>2294.28</v>
      </c>
      <c r="J525" s="2" t="s">
        <v>1645</v>
      </c>
      <c r="K525" s="2" t="s">
        <v>1646</v>
      </c>
      <c r="L525" s="2" t="s">
        <v>1647</v>
      </c>
    </row>
    <row r="526" ht="15.75" customHeight="1">
      <c r="A526" s="13">
        <v>45629.0</v>
      </c>
      <c r="B526" s="2" t="s">
        <v>114</v>
      </c>
      <c r="C526" s="2" t="str">
        <f t="shared" si="3"/>
        <v>Guadalajara</v>
      </c>
      <c r="D526" s="19" t="s">
        <v>2347</v>
      </c>
      <c r="E526" s="19" t="s">
        <v>2356</v>
      </c>
      <c r="F526" s="19" t="s">
        <v>2350</v>
      </c>
      <c r="G526" s="20">
        <v>90.89</v>
      </c>
      <c r="H526" s="5">
        <v>1.0</v>
      </c>
      <c r="I526" s="20">
        <v>90.89</v>
      </c>
      <c r="J526" s="2" t="s">
        <v>1648</v>
      </c>
      <c r="K526" s="2" t="s">
        <v>1649</v>
      </c>
      <c r="L526" s="2" t="s">
        <v>1650</v>
      </c>
    </row>
    <row r="527" ht="15.75" customHeight="1">
      <c r="A527" s="13">
        <v>45629.0</v>
      </c>
      <c r="B527" s="3" t="s">
        <v>29</v>
      </c>
      <c r="C527" s="2" t="str">
        <f t="shared" si="3"/>
        <v>Ciudad De Mexico</v>
      </c>
      <c r="D527" s="19" t="s">
        <v>2343</v>
      </c>
      <c r="E527" s="19" t="s">
        <v>2344</v>
      </c>
      <c r="F527" s="19" t="s">
        <v>2342</v>
      </c>
      <c r="G527" s="20">
        <v>1464.04</v>
      </c>
      <c r="H527" s="5">
        <v>4.0</v>
      </c>
      <c r="I527" s="20">
        <v>5856.16</v>
      </c>
      <c r="J527" s="2" t="s">
        <v>1651</v>
      </c>
      <c r="K527" s="2" t="s">
        <v>1652</v>
      </c>
      <c r="L527" s="2" t="s">
        <v>1653</v>
      </c>
    </row>
    <row r="528" ht="15.75" customHeight="1">
      <c r="A528" s="13">
        <v>45629.0</v>
      </c>
      <c r="B528" s="3" t="s">
        <v>74</v>
      </c>
      <c r="C528" s="2" t="str">
        <f t="shared" si="3"/>
        <v>Cali</v>
      </c>
      <c r="D528" s="19" t="s">
        <v>2351</v>
      </c>
      <c r="E528" s="19" t="s">
        <v>2354</v>
      </c>
      <c r="F528" s="19" t="s">
        <v>2342</v>
      </c>
      <c r="G528" s="20">
        <v>690.26</v>
      </c>
      <c r="H528" s="5">
        <v>4.0</v>
      </c>
      <c r="I528" s="20">
        <v>2761.04</v>
      </c>
      <c r="J528" s="2" t="s">
        <v>1654</v>
      </c>
      <c r="K528" s="2" t="s">
        <v>1655</v>
      </c>
      <c r="L528" s="2" t="s">
        <v>1656</v>
      </c>
    </row>
    <row r="529" ht="15.75" customHeight="1">
      <c r="A529" s="13">
        <v>45630.0</v>
      </c>
      <c r="B529" s="3" t="s">
        <v>74</v>
      </c>
      <c r="C529" s="2" t="str">
        <f t="shared" si="3"/>
        <v>Cali</v>
      </c>
      <c r="D529" s="19" t="s">
        <v>2340</v>
      </c>
      <c r="E529" s="19" t="s">
        <v>2349</v>
      </c>
      <c r="F529" s="19" t="s">
        <v>2346</v>
      </c>
      <c r="G529" s="20">
        <v>1902.94</v>
      </c>
      <c r="H529" s="5">
        <v>4.0</v>
      </c>
      <c r="I529" s="20">
        <v>7611.76</v>
      </c>
      <c r="J529" s="2" t="s">
        <v>1657</v>
      </c>
      <c r="K529" s="2" t="s">
        <v>1658</v>
      </c>
      <c r="L529" s="2" t="s">
        <v>1659</v>
      </c>
    </row>
    <row r="530" ht="15.75" customHeight="1">
      <c r="A530" s="13">
        <v>45630.0</v>
      </c>
      <c r="B530" s="2" t="s">
        <v>57</v>
      </c>
      <c r="C530" s="2" t="str">
        <f t="shared" si="3"/>
        <v>Guadalajara</v>
      </c>
      <c r="D530" s="19" t="s">
        <v>2343</v>
      </c>
      <c r="E530" s="19" t="s">
        <v>2344</v>
      </c>
      <c r="F530" s="19" t="s">
        <v>2350</v>
      </c>
      <c r="G530" s="20">
        <v>2281.58</v>
      </c>
      <c r="H530" s="5">
        <v>1.0</v>
      </c>
      <c r="I530" s="20">
        <v>2281.58</v>
      </c>
      <c r="J530" s="2" t="s">
        <v>1660</v>
      </c>
      <c r="K530" s="2" t="s">
        <v>1661</v>
      </c>
      <c r="L530" s="2" t="s">
        <v>1662</v>
      </c>
    </row>
    <row r="531" ht="15.75" customHeight="1">
      <c r="A531" s="13">
        <v>45630.0</v>
      </c>
      <c r="B531" s="2" t="s">
        <v>34</v>
      </c>
      <c r="C531" s="2" t="str">
        <f t="shared" si="3"/>
        <v>Medellín</v>
      </c>
      <c r="D531" s="19" t="s">
        <v>2343</v>
      </c>
      <c r="E531" s="19" t="s">
        <v>2353</v>
      </c>
      <c r="F531" s="19" t="s">
        <v>2345</v>
      </c>
      <c r="G531" s="20">
        <v>1019.3</v>
      </c>
      <c r="H531" s="5">
        <v>4.0</v>
      </c>
      <c r="I531" s="20">
        <v>4077.2</v>
      </c>
      <c r="J531" s="2" t="s">
        <v>1663</v>
      </c>
      <c r="K531" s="2" t="s">
        <v>1664</v>
      </c>
      <c r="L531" s="2" t="s">
        <v>1665</v>
      </c>
    </row>
    <row r="532" ht="15.75" customHeight="1">
      <c r="A532" s="13">
        <v>45630.0</v>
      </c>
      <c r="B532" s="3" t="s">
        <v>87</v>
      </c>
      <c r="C532" s="2" t="str">
        <f t="shared" si="3"/>
        <v>Tulum</v>
      </c>
      <c r="D532" s="19" t="s">
        <v>2347</v>
      </c>
      <c r="E532" s="19" t="s">
        <v>2348</v>
      </c>
      <c r="F532" s="19" t="s">
        <v>2346</v>
      </c>
      <c r="G532" s="20">
        <v>1113.91</v>
      </c>
      <c r="H532" s="5">
        <v>2.0</v>
      </c>
      <c r="I532" s="20">
        <v>2227.82</v>
      </c>
      <c r="J532" s="2" t="s">
        <v>1666</v>
      </c>
      <c r="K532" s="2" t="s">
        <v>1667</v>
      </c>
      <c r="L532" s="7" t="s">
        <v>1668</v>
      </c>
    </row>
    <row r="533" ht="15.75" customHeight="1">
      <c r="A533" s="13">
        <v>45631.0</v>
      </c>
      <c r="B533" s="2" t="s">
        <v>57</v>
      </c>
      <c r="C533" s="2" t="str">
        <f t="shared" si="3"/>
        <v>Guadalajara</v>
      </c>
      <c r="D533" s="19" t="s">
        <v>2340</v>
      </c>
      <c r="E533" s="19" t="s">
        <v>2355</v>
      </c>
      <c r="F533" s="19" t="s">
        <v>2345</v>
      </c>
      <c r="G533" s="20">
        <v>2246.48</v>
      </c>
      <c r="H533" s="5">
        <v>1.0</v>
      </c>
      <c r="I533" s="20">
        <v>2246.48</v>
      </c>
      <c r="J533" s="2" t="s">
        <v>1669</v>
      </c>
      <c r="K533" s="2" t="s">
        <v>1670</v>
      </c>
      <c r="L533" s="2" t="s">
        <v>1671</v>
      </c>
    </row>
    <row r="534" ht="15.75" customHeight="1">
      <c r="A534" s="13">
        <v>45631.0</v>
      </c>
      <c r="B534" s="3" t="s">
        <v>29</v>
      </c>
      <c r="C534" s="2" t="str">
        <f t="shared" si="3"/>
        <v>Ciudad De Mexico</v>
      </c>
      <c r="D534" s="19" t="s">
        <v>2340</v>
      </c>
      <c r="E534" s="19" t="s">
        <v>2355</v>
      </c>
      <c r="F534" s="19" t="s">
        <v>2350</v>
      </c>
      <c r="G534" s="20">
        <v>496.1</v>
      </c>
      <c r="H534" s="5">
        <v>3.0</v>
      </c>
      <c r="I534" s="20">
        <v>1488.3</v>
      </c>
      <c r="J534" s="2" t="s">
        <v>1672</v>
      </c>
      <c r="K534" s="2" t="s">
        <v>1673</v>
      </c>
      <c r="L534" s="2" t="s">
        <v>1674</v>
      </c>
    </row>
    <row r="535" ht="15.75" customHeight="1">
      <c r="A535" s="13">
        <v>45631.0</v>
      </c>
      <c r="B535" s="3" t="s">
        <v>9</v>
      </c>
      <c r="C535" s="2" t="str">
        <f t="shared" si="3"/>
        <v>Monterrey</v>
      </c>
      <c r="D535" s="19" t="s">
        <v>2340</v>
      </c>
      <c r="E535" s="19" t="s">
        <v>2355</v>
      </c>
      <c r="F535" s="19" t="s">
        <v>2346</v>
      </c>
      <c r="G535" s="20">
        <v>1005.46</v>
      </c>
      <c r="H535" s="5">
        <v>5.0</v>
      </c>
      <c r="I535" s="20">
        <v>5027.3</v>
      </c>
      <c r="J535" s="2" t="s">
        <v>1675</v>
      </c>
      <c r="K535" s="2" t="s">
        <v>1676</v>
      </c>
      <c r="L535" s="2" t="s">
        <v>1677</v>
      </c>
    </row>
    <row r="536" ht="15.75" customHeight="1">
      <c r="A536" s="13">
        <v>45631.0</v>
      </c>
      <c r="B536" s="2" t="s">
        <v>57</v>
      </c>
      <c r="C536" s="2" t="str">
        <f t="shared" si="3"/>
        <v>Guadalajara</v>
      </c>
      <c r="D536" s="19" t="s">
        <v>2343</v>
      </c>
      <c r="E536" s="19" t="s">
        <v>2360</v>
      </c>
      <c r="F536" s="19" t="s">
        <v>2350</v>
      </c>
      <c r="G536" s="20">
        <v>379.11</v>
      </c>
      <c r="H536" s="5">
        <v>1.0</v>
      </c>
      <c r="I536" s="20">
        <v>379.11</v>
      </c>
      <c r="J536" s="2" t="s">
        <v>1678</v>
      </c>
      <c r="K536" s="2" t="s">
        <v>1679</v>
      </c>
      <c r="L536" s="2" t="s">
        <v>1680</v>
      </c>
    </row>
    <row r="537" ht="15.75" customHeight="1">
      <c r="A537" s="13">
        <v>45631.0</v>
      </c>
      <c r="B537" s="3" t="s">
        <v>74</v>
      </c>
      <c r="C537" s="2" t="str">
        <f t="shared" si="3"/>
        <v>Cali</v>
      </c>
      <c r="D537" s="19" t="s">
        <v>2340</v>
      </c>
      <c r="E537" s="19" t="s">
        <v>2349</v>
      </c>
      <c r="F537" s="19" t="s">
        <v>2346</v>
      </c>
      <c r="G537" s="20">
        <v>1742.12</v>
      </c>
      <c r="H537" s="5">
        <v>4.0</v>
      </c>
      <c r="I537" s="20">
        <v>6968.48</v>
      </c>
      <c r="J537" s="2" t="s">
        <v>1681</v>
      </c>
      <c r="K537" s="2" t="s">
        <v>1682</v>
      </c>
      <c r="L537" s="2" t="s">
        <v>1683</v>
      </c>
    </row>
    <row r="538" ht="15.75" customHeight="1">
      <c r="A538" s="13">
        <v>45632.0</v>
      </c>
      <c r="B538" s="2" t="s">
        <v>34</v>
      </c>
      <c r="C538" s="2" t="str">
        <f t="shared" si="3"/>
        <v>Medellín</v>
      </c>
      <c r="D538" s="19" t="s">
        <v>2347</v>
      </c>
      <c r="E538" s="19" t="s">
        <v>2358</v>
      </c>
      <c r="F538" s="19" t="s">
        <v>2342</v>
      </c>
      <c r="G538" s="20">
        <v>1143.24</v>
      </c>
      <c r="H538" s="5">
        <v>2.0</v>
      </c>
      <c r="I538" s="20">
        <v>2286.48</v>
      </c>
      <c r="J538" s="2" t="s">
        <v>1684</v>
      </c>
      <c r="K538" s="2" t="s">
        <v>1685</v>
      </c>
      <c r="L538" s="2" t="s">
        <v>1686</v>
      </c>
    </row>
    <row r="539" ht="15.75" customHeight="1">
      <c r="A539" s="13">
        <v>45632.0</v>
      </c>
      <c r="B539" s="3" t="s">
        <v>9</v>
      </c>
      <c r="C539" s="2" t="str">
        <f t="shared" si="3"/>
        <v>Monterrey</v>
      </c>
      <c r="D539" s="19" t="s">
        <v>2351</v>
      </c>
      <c r="E539" s="19" t="s">
        <v>2354</v>
      </c>
      <c r="F539" s="19" t="s">
        <v>2345</v>
      </c>
      <c r="G539" s="16">
        <f>I539/H539</f>
        <v>1955.27</v>
      </c>
      <c r="H539" s="5">
        <v>1.0</v>
      </c>
      <c r="I539" s="20">
        <v>1955.27</v>
      </c>
      <c r="J539" s="2" t="s">
        <v>1687</v>
      </c>
      <c r="K539" s="2" t="s">
        <v>1688</v>
      </c>
      <c r="L539" s="2" t="s">
        <v>1689</v>
      </c>
    </row>
    <row r="540" ht="15.75" customHeight="1">
      <c r="A540" s="13">
        <v>45632.0</v>
      </c>
      <c r="B540" s="3" t="s">
        <v>14</v>
      </c>
      <c r="C540" s="2" t="str">
        <f t="shared" si="3"/>
        <v>Bogotá</v>
      </c>
      <c r="D540" s="19" t="s">
        <v>2343</v>
      </c>
      <c r="E540" s="19" t="s">
        <v>2344</v>
      </c>
      <c r="F540" s="19" t="s">
        <v>2350</v>
      </c>
      <c r="G540" s="20">
        <v>1440.56</v>
      </c>
      <c r="H540" s="5">
        <v>1.0</v>
      </c>
      <c r="I540" s="20">
        <v>1440.56</v>
      </c>
      <c r="J540" s="2" t="s">
        <v>1690</v>
      </c>
      <c r="K540" s="2" t="s">
        <v>1691</v>
      </c>
      <c r="L540" s="2" t="s">
        <v>1692</v>
      </c>
    </row>
    <row r="541" ht="15.75" customHeight="1">
      <c r="A541" s="13">
        <v>45633.0</v>
      </c>
      <c r="B541" s="3" t="s">
        <v>9</v>
      </c>
      <c r="C541" s="2" t="str">
        <f t="shared" si="3"/>
        <v>Monterrey</v>
      </c>
      <c r="D541" s="19" t="s">
        <v>2351</v>
      </c>
      <c r="E541" s="19" t="s">
        <v>2357</v>
      </c>
      <c r="F541" s="19" t="s">
        <v>2350</v>
      </c>
      <c r="G541" s="20">
        <v>1636.89</v>
      </c>
      <c r="H541" s="5">
        <v>2.0</v>
      </c>
      <c r="I541" s="20">
        <v>3273.78</v>
      </c>
      <c r="J541" s="2" t="s">
        <v>1693</v>
      </c>
      <c r="K541" s="2" t="s">
        <v>1694</v>
      </c>
      <c r="L541" s="2" t="s">
        <v>1695</v>
      </c>
    </row>
    <row r="542" ht="15.75" customHeight="1">
      <c r="A542" s="13">
        <v>45633.0</v>
      </c>
      <c r="B542" s="3" t="s">
        <v>74</v>
      </c>
      <c r="C542" s="2" t="str">
        <f t="shared" si="3"/>
        <v>Cali</v>
      </c>
      <c r="D542" s="19" t="s">
        <v>2351</v>
      </c>
      <c r="E542" s="19" t="s">
        <v>2352</v>
      </c>
      <c r="F542" s="19" t="s">
        <v>2345</v>
      </c>
      <c r="G542" s="20">
        <v>979.2</v>
      </c>
      <c r="H542" s="5">
        <v>5.0</v>
      </c>
      <c r="I542" s="20">
        <v>4896.0</v>
      </c>
      <c r="J542" s="2" t="s">
        <v>1696</v>
      </c>
      <c r="K542" s="2" t="s">
        <v>1697</v>
      </c>
      <c r="L542" s="2" t="s">
        <v>1698</v>
      </c>
    </row>
    <row r="543" ht="15.75" customHeight="1">
      <c r="A543" s="13">
        <v>45633.0</v>
      </c>
      <c r="B543" s="3" t="s">
        <v>29</v>
      </c>
      <c r="C543" s="2" t="str">
        <f t="shared" si="3"/>
        <v>Ciudad De Mexico</v>
      </c>
      <c r="D543" s="19" t="s">
        <v>2340</v>
      </c>
      <c r="E543" s="19" t="s">
        <v>2349</v>
      </c>
      <c r="F543" s="19" t="s">
        <v>2345</v>
      </c>
      <c r="G543" s="20">
        <v>1566.88</v>
      </c>
      <c r="H543" s="5">
        <v>3.0</v>
      </c>
      <c r="I543" s="20">
        <v>4700.64</v>
      </c>
      <c r="J543" s="2" t="s">
        <v>1699</v>
      </c>
      <c r="K543" s="2" t="s">
        <v>1700</v>
      </c>
      <c r="L543" s="2" t="s">
        <v>1701</v>
      </c>
    </row>
    <row r="544" ht="15.75" customHeight="1">
      <c r="A544" s="13">
        <v>45634.0</v>
      </c>
      <c r="B544" s="3" t="s">
        <v>9</v>
      </c>
      <c r="C544" s="2" t="str">
        <f t="shared" si="3"/>
        <v>Monterrey</v>
      </c>
      <c r="D544" s="19" t="s">
        <v>2340</v>
      </c>
      <c r="E544" s="19" t="s">
        <v>2349</v>
      </c>
      <c r="F544" s="19" t="s">
        <v>2346</v>
      </c>
      <c r="G544" s="20">
        <v>1397.7</v>
      </c>
      <c r="H544" s="5">
        <v>3.0</v>
      </c>
      <c r="I544" s="20">
        <v>4193.1</v>
      </c>
      <c r="J544" s="2" t="s">
        <v>1702</v>
      </c>
      <c r="K544" s="2" t="s">
        <v>1703</v>
      </c>
      <c r="L544" s="2" t="s">
        <v>1704</v>
      </c>
    </row>
    <row r="545" ht="15.75" customHeight="1">
      <c r="A545" s="13">
        <v>45634.0</v>
      </c>
      <c r="B545" s="3" t="s">
        <v>9</v>
      </c>
      <c r="C545" s="2" t="str">
        <f t="shared" si="3"/>
        <v>Monterrey</v>
      </c>
      <c r="D545" s="19" t="s">
        <v>2340</v>
      </c>
      <c r="E545" s="19" t="s">
        <v>2341</v>
      </c>
      <c r="F545" s="19" t="s">
        <v>2342</v>
      </c>
      <c r="G545" s="20">
        <v>155.7</v>
      </c>
      <c r="H545" s="5">
        <v>5.0</v>
      </c>
      <c r="I545" s="20">
        <v>778.5</v>
      </c>
      <c r="J545" s="2" t="s">
        <v>1705</v>
      </c>
      <c r="K545" s="2" t="s">
        <v>1706</v>
      </c>
      <c r="L545" s="2" t="s">
        <v>1707</v>
      </c>
    </row>
    <row r="546" ht="15.75" customHeight="1">
      <c r="A546" s="13">
        <v>45635.0</v>
      </c>
      <c r="B546" s="3" t="s">
        <v>29</v>
      </c>
      <c r="C546" s="2" t="str">
        <f t="shared" si="3"/>
        <v>Ciudad De Mexico</v>
      </c>
      <c r="D546" s="19" t="s">
        <v>2347</v>
      </c>
      <c r="E546" s="19" t="s">
        <v>2356</v>
      </c>
      <c r="F546" s="19" t="s">
        <v>2346</v>
      </c>
      <c r="G546" s="20">
        <v>166.45</v>
      </c>
      <c r="H546" s="5">
        <v>5.0</v>
      </c>
      <c r="I546" s="20">
        <v>832.25</v>
      </c>
      <c r="J546" s="2" t="s">
        <v>1708</v>
      </c>
      <c r="K546" s="2" t="s">
        <v>1709</v>
      </c>
      <c r="L546" s="2" t="s">
        <v>1710</v>
      </c>
    </row>
    <row r="547" ht="15.75" customHeight="1">
      <c r="A547" s="13">
        <v>45635.0</v>
      </c>
      <c r="B547" s="2" t="s">
        <v>34</v>
      </c>
      <c r="C547" s="2" t="str">
        <f t="shared" si="3"/>
        <v>Medellín</v>
      </c>
      <c r="D547" s="19" t="s">
        <v>2340</v>
      </c>
      <c r="E547" s="19" t="s">
        <v>2355</v>
      </c>
      <c r="F547" s="19" t="s">
        <v>2342</v>
      </c>
      <c r="G547" s="20">
        <v>1744.95</v>
      </c>
      <c r="H547" s="5">
        <v>2.0</v>
      </c>
      <c r="I547" s="20">
        <v>3489.9</v>
      </c>
      <c r="J547" s="2" t="s">
        <v>1711</v>
      </c>
      <c r="K547" s="2" t="s">
        <v>1712</v>
      </c>
      <c r="L547" s="2" t="s">
        <v>1713</v>
      </c>
    </row>
    <row r="548" ht="15.75" customHeight="1">
      <c r="A548" s="13">
        <v>45635.0</v>
      </c>
      <c r="B548" s="2" t="s">
        <v>57</v>
      </c>
      <c r="C548" s="2" t="str">
        <f t="shared" si="3"/>
        <v>Guadalajara</v>
      </c>
      <c r="D548" s="19" t="s">
        <v>2351</v>
      </c>
      <c r="E548" s="19" t="s">
        <v>2354</v>
      </c>
      <c r="F548" s="19" t="s">
        <v>2350</v>
      </c>
      <c r="G548" s="20">
        <v>1865.55</v>
      </c>
      <c r="H548" s="5">
        <v>2.0</v>
      </c>
      <c r="I548" s="20">
        <v>3731.1</v>
      </c>
      <c r="J548" s="2" t="s">
        <v>1714</v>
      </c>
      <c r="K548" s="2" t="s">
        <v>1715</v>
      </c>
      <c r="L548" s="2" t="s">
        <v>1716</v>
      </c>
    </row>
    <row r="549" ht="15.75" customHeight="1">
      <c r="A549" s="13">
        <v>45635.0</v>
      </c>
      <c r="B549" s="2" t="s">
        <v>57</v>
      </c>
      <c r="C549" s="2" t="str">
        <f t="shared" si="3"/>
        <v>Guadalajara</v>
      </c>
      <c r="D549" s="19" t="s">
        <v>2340</v>
      </c>
      <c r="E549" s="19" t="s">
        <v>2341</v>
      </c>
      <c r="F549" s="19" t="s">
        <v>2346</v>
      </c>
      <c r="G549" s="20">
        <v>787.78</v>
      </c>
      <c r="H549" s="5">
        <v>3.0</v>
      </c>
      <c r="I549" s="20">
        <v>2363.34</v>
      </c>
      <c r="J549" s="2" t="s">
        <v>1717</v>
      </c>
      <c r="K549" s="2" t="s">
        <v>1718</v>
      </c>
      <c r="L549" s="2" t="s">
        <v>1719</v>
      </c>
    </row>
    <row r="550" ht="15.75" customHeight="1">
      <c r="A550" s="13">
        <v>45636.0</v>
      </c>
      <c r="B550" s="3" t="s">
        <v>29</v>
      </c>
      <c r="C550" s="2" t="str">
        <f t="shared" si="3"/>
        <v>Ciudad De Mexico</v>
      </c>
      <c r="D550" s="19" t="s">
        <v>2340</v>
      </c>
      <c r="E550" s="19" t="s">
        <v>2349</v>
      </c>
      <c r="F550" s="19" t="s">
        <v>2342</v>
      </c>
      <c r="G550" s="20">
        <v>1001.63</v>
      </c>
      <c r="H550" s="5">
        <v>3.0</v>
      </c>
      <c r="I550" s="20">
        <v>3004.89</v>
      </c>
      <c r="J550" s="2" t="s">
        <v>1720</v>
      </c>
      <c r="K550" s="2" t="s">
        <v>1721</v>
      </c>
      <c r="L550" s="2" t="s">
        <v>1722</v>
      </c>
    </row>
    <row r="551" ht="15.75" customHeight="1">
      <c r="A551" s="13">
        <v>45636.0</v>
      </c>
      <c r="B551" s="3" t="s">
        <v>9</v>
      </c>
      <c r="C551" s="2" t="str">
        <f t="shared" si="3"/>
        <v>Monterrey</v>
      </c>
      <c r="D551" s="19" t="s">
        <v>2351</v>
      </c>
      <c r="E551" s="19" t="s">
        <v>2352</v>
      </c>
      <c r="F551" s="19" t="s">
        <v>2345</v>
      </c>
      <c r="G551" s="20">
        <v>1708.81</v>
      </c>
      <c r="H551" s="5">
        <v>1.0</v>
      </c>
      <c r="I551" s="20">
        <v>1708.81</v>
      </c>
      <c r="J551" s="2" t="s">
        <v>1723</v>
      </c>
      <c r="K551" s="2" t="s">
        <v>1724</v>
      </c>
      <c r="L551" s="2" t="s">
        <v>1725</v>
      </c>
    </row>
    <row r="552" ht="15.75" customHeight="1">
      <c r="A552" s="13">
        <v>45636.0</v>
      </c>
      <c r="B552" s="3" t="s">
        <v>14</v>
      </c>
      <c r="C552" s="2" t="str">
        <f t="shared" si="3"/>
        <v>Bogotá</v>
      </c>
      <c r="D552" s="19" t="s">
        <v>2340</v>
      </c>
      <c r="E552" s="19" t="s">
        <v>2349</v>
      </c>
      <c r="F552" s="19" t="s">
        <v>2346</v>
      </c>
      <c r="G552" s="20">
        <v>1402.2</v>
      </c>
      <c r="H552" s="5">
        <v>5.0</v>
      </c>
      <c r="I552" s="20">
        <v>7011.0</v>
      </c>
      <c r="J552" s="2" t="s">
        <v>1726</v>
      </c>
      <c r="K552" s="2" t="s">
        <v>1727</v>
      </c>
      <c r="L552" s="2" t="s">
        <v>1728</v>
      </c>
    </row>
    <row r="553" ht="15.75" customHeight="1">
      <c r="A553" s="13">
        <v>45636.0</v>
      </c>
      <c r="B553" s="2" t="s">
        <v>34</v>
      </c>
      <c r="C553" s="2" t="str">
        <f t="shared" si="3"/>
        <v>Medellín</v>
      </c>
      <c r="D553" s="19" t="s">
        <v>2351</v>
      </c>
      <c r="E553" s="19" t="s">
        <v>2352</v>
      </c>
      <c r="F553" s="19" t="s">
        <v>2342</v>
      </c>
      <c r="G553" s="20">
        <v>85.19</v>
      </c>
      <c r="H553" s="5">
        <v>1.0</v>
      </c>
      <c r="I553" s="20">
        <v>85.19</v>
      </c>
      <c r="J553" s="2" t="s">
        <v>1729</v>
      </c>
      <c r="K553" s="2" t="s">
        <v>1730</v>
      </c>
      <c r="L553" s="2" t="s">
        <v>1731</v>
      </c>
    </row>
    <row r="554" ht="15.75" customHeight="1">
      <c r="A554" s="13">
        <v>45636.0</v>
      </c>
      <c r="B554" s="3" t="s">
        <v>9</v>
      </c>
      <c r="C554" s="2" t="str">
        <f t="shared" si="3"/>
        <v>Monterrey</v>
      </c>
      <c r="D554" s="19" t="s">
        <v>2351</v>
      </c>
      <c r="E554" s="19" t="s">
        <v>2357</v>
      </c>
      <c r="F554" s="19" t="s">
        <v>2350</v>
      </c>
      <c r="G554" s="20">
        <v>240.45</v>
      </c>
      <c r="H554" s="5">
        <v>4.0</v>
      </c>
      <c r="I554" s="20">
        <v>961.8</v>
      </c>
      <c r="J554" s="2" t="s">
        <v>1732</v>
      </c>
      <c r="K554" s="2" t="s">
        <v>1733</v>
      </c>
      <c r="L554" s="2" t="s">
        <v>1734</v>
      </c>
    </row>
    <row r="555" ht="15.75" customHeight="1">
      <c r="A555" s="13">
        <v>45636.0</v>
      </c>
      <c r="B555" s="3" t="s">
        <v>74</v>
      </c>
      <c r="C555" s="2" t="str">
        <f t="shared" si="3"/>
        <v>Cali</v>
      </c>
      <c r="D555" s="19" t="s">
        <v>2347</v>
      </c>
      <c r="E555" s="19" t="s">
        <v>2358</v>
      </c>
      <c r="F555" s="19" t="s">
        <v>2342</v>
      </c>
      <c r="G555" s="20">
        <v>1284.54</v>
      </c>
      <c r="H555" s="5">
        <v>3.0</v>
      </c>
      <c r="I555" s="20">
        <v>3853.62</v>
      </c>
      <c r="J555" s="2" t="s">
        <v>1735</v>
      </c>
      <c r="K555" s="2" t="s">
        <v>1736</v>
      </c>
      <c r="L555" s="2" t="s">
        <v>1737</v>
      </c>
    </row>
    <row r="556" ht="15.75" customHeight="1">
      <c r="A556" s="13">
        <v>45636.0</v>
      </c>
      <c r="B556" s="3" t="s">
        <v>74</v>
      </c>
      <c r="C556" s="2" t="str">
        <f t="shared" si="3"/>
        <v>Cali</v>
      </c>
      <c r="D556" s="19" t="s">
        <v>2347</v>
      </c>
      <c r="E556" s="19" t="s">
        <v>2348</v>
      </c>
      <c r="F556" s="19" t="s">
        <v>2346</v>
      </c>
      <c r="G556" s="20">
        <v>974.06</v>
      </c>
      <c r="H556" s="5">
        <v>5.0</v>
      </c>
      <c r="I556" s="20">
        <v>4870.3</v>
      </c>
      <c r="J556" s="2" t="s">
        <v>1738</v>
      </c>
      <c r="K556" s="2" t="s">
        <v>1739</v>
      </c>
      <c r="L556" s="2" t="s">
        <v>1740</v>
      </c>
    </row>
    <row r="557" ht="15.75" customHeight="1">
      <c r="A557" s="13">
        <v>45636.0</v>
      </c>
      <c r="B557" s="2" t="s">
        <v>57</v>
      </c>
      <c r="C557" s="2" t="str">
        <f t="shared" si="3"/>
        <v>Guadalajara</v>
      </c>
      <c r="D557" s="19" t="s">
        <v>2343</v>
      </c>
      <c r="E557" s="19" t="s">
        <v>2360</v>
      </c>
      <c r="F557" s="19" t="s">
        <v>2342</v>
      </c>
      <c r="G557" s="20">
        <v>1808.15</v>
      </c>
      <c r="H557" s="5">
        <v>2.0</v>
      </c>
      <c r="I557" s="20">
        <v>3616.3</v>
      </c>
      <c r="J557" s="2" t="s">
        <v>1741</v>
      </c>
      <c r="K557" s="2" t="s">
        <v>1742</v>
      </c>
      <c r="L557" s="2" t="s">
        <v>1743</v>
      </c>
    </row>
    <row r="558" ht="15.75" customHeight="1">
      <c r="A558" s="13">
        <v>45636.0</v>
      </c>
      <c r="B558" s="2" t="s">
        <v>57</v>
      </c>
      <c r="C558" s="2" t="str">
        <f t="shared" si="3"/>
        <v>Guadalajara</v>
      </c>
      <c r="D558" s="19" t="s">
        <v>2351</v>
      </c>
      <c r="E558" s="19" t="s">
        <v>2354</v>
      </c>
      <c r="F558" s="19" t="s">
        <v>2346</v>
      </c>
      <c r="G558" s="20">
        <v>1969.69</v>
      </c>
      <c r="H558" s="5">
        <v>4.0</v>
      </c>
      <c r="I558" s="20">
        <v>7878.76</v>
      </c>
      <c r="J558" s="2" t="s">
        <v>1744</v>
      </c>
      <c r="K558" s="2" t="s">
        <v>1745</v>
      </c>
      <c r="L558" s="7" t="s">
        <v>1746</v>
      </c>
    </row>
    <row r="559" ht="15.75" customHeight="1">
      <c r="A559" s="13">
        <v>45636.0</v>
      </c>
      <c r="B559" s="2" t="s">
        <v>34</v>
      </c>
      <c r="C559" s="2" t="str">
        <f t="shared" si="3"/>
        <v>Medellín</v>
      </c>
      <c r="D559" s="19" t="s">
        <v>2340</v>
      </c>
      <c r="E559" s="19" t="s">
        <v>2355</v>
      </c>
      <c r="F559" s="19" t="s">
        <v>2346</v>
      </c>
      <c r="G559" s="20">
        <v>2351.13</v>
      </c>
      <c r="H559" s="5">
        <v>1.0</v>
      </c>
      <c r="I559" s="20">
        <v>2351.13</v>
      </c>
      <c r="J559" s="2" t="s">
        <v>1747</v>
      </c>
      <c r="K559" s="2" t="s">
        <v>1748</v>
      </c>
      <c r="L559" s="2" t="s">
        <v>1749</v>
      </c>
    </row>
    <row r="560" ht="15.75" customHeight="1">
      <c r="A560" s="13">
        <v>45636.0</v>
      </c>
      <c r="B560" s="3" t="s">
        <v>29</v>
      </c>
      <c r="C560" s="2" t="str">
        <f t="shared" si="3"/>
        <v>Ciudad De Mexico</v>
      </c>
      <c r="D560" s="19" t="s">
        <v>2347</v>
      </c>
      <c r="E560" s="19" t="s">
        <v>2358</v>
      </c>
      <c r="F560" s="19" t="s">
        <v>2350</v>
      </c>
      <c r="G560" s="20">
        <v>173.92</v>
      </c>
      <c r="H560" s="5">
        <v>3.0</v>
      </c>
      <c r="I560" s="20">
        <v>521.76</v>
      </c>
      <c r="J560" s="2" t="s">
        <v>1750</v>
      </c>
      <c r="K560" s="2" t="s">
        <v>1751</v>
      </c>
      <c r="L560" s="2" t="s">
        <v>1752</v>
      </c>
    </row>
    <row r="561" ht="15.75" customHeight="1">
      <c r="A561" s="13">
        <v>45637.0</v>
      </c>
      <c r="B561" s="3" t="s">
        <v>14</v>
      </c>
      <c r="C561" s="2" t="str">
        <f t="shared" si="3"/>
        <v>Bogotá</v>
      </c>
      <c r="D561" s="19" t="s">
        <v>2340</v>
      </c>
      <c r="E561" s="19" t="s">
        <v>2349</v>
      </c>
      <c r="F561" s="19" t="s">
        <v>2350</v>
      </c>
      <c r="G561" s="20">
        <v>817.03</v>
      </c>
      <c r="H561" s="5">
        <v>2.0</v>
      </c>
      <c r="I561" s="20">
        <v>1634.06</v>
      </c>
      <c r="J561" s="2" t="s">
        <v>1753</v>
      </c>
      <c r="K561" s="2" t="s">
        <v>1754</v>
      </c>
      <c r="L561" s="2" t="s">
        <v>1755</v>
      </c>
    </row>
    <row r="562" ht="15.75" customHeight="1">
      <c r="A562" s="13">
        <v>45637.0</v>
      </c>
      <c r="B562" s="2" t="s">
        <v>34</v>
      </c>
      <c r="C562" s="2" t="str">
        <f t="shared" si="3"/>
        <v>Medellín</v>
      </c>
      <c r="D562" s="19" t="s">
        <v>2340</v>
      </c>
      <c r="E562" s="19" t="s">
        <v>2355</v>
      </c>
      <c r="F562" s="19" t="s">
        <v>2345</v>
      </c>
      <c r="G562" s="20">
        <v>1332.48</v>
      </c>
      <c r="H562" s="5">
        <v>5.0</v>
      </c>
      <c r="I562" s="20">
        <v>6662.4</v>
      </c>
      <c r="J562" s="2" t="s">
        <v>1756</v>
      </c>
      <c r="K562" s="2" t="s">
        <v>1757</v>
      </c>
      <c r="L562" s="2" t="s">
        <v>1758</v>
      </c>
    </row>
    <row r="563" ht="15.75" customHeight="1">
      <c r="A563" s="13">
        <v>45637.0</v>
      </c>
      <c r="B563" s="3" t="s">
        <v>14</v>
      </c>
      <c r="C563" s="2" t="str">
        <f t="shared" si="3"/>
        <v>Bogotá</v>
      </c>
      <c r="D563" s="19" t="s">
        <v>2340</v>
      </c>
      <c r="E563" s="19" t="s">
        <v>2349</v>
      </c>
      <c r="F563" s="19" t="s">
        <v>2346</v>
      </c>
      <c r="G563" s="20">
        <v>273.29</v>
      </c>
      <c r="H563" s="5">
        <v>5.0</v>
      </c>
      <c r="I563" s="20">
        <v>1366.45</v>
      </c>
      <c r="J563" s="2" t="s">
        <v>1759</v>
      </c>
      <c r="K563" s="2" t="s">
        <v>1760</v>
      </c>
      <c r="L563" s="2" t="s">
        <v>1761</v>
      </c>
    </row>
    <row r="564" ht="15.75" customHeight="1">
      <c r="A564" s="13">
        <v>45637.0</v>
      </c>
      <c r="B564" s="3" t="s">
        <v>9</v>
      </c>
      <c r="C564" s="2" t="str">
        <f t="shared" si="3"/>
        <v>Monterrey</v>
      </c>
      <c r="D564" s="19" t="s">
        <v>2340</v>
      </c>
      <c r="E564" s="19" t="s">
        <v>2355</v>
      </c>
      <c r="F564" s="19" t="s">
        <v>2345</v>
      </c>
      <c r="G564" s="20">
        <v>782.8</v>
      </c>
      <c r="H564" s="5">
        <v>2.0</v>
      </c>
      <c r="I564" s="20">
        <v>1565.6</v>
      </c>
      <c r="J564" s="2" t="s">
        <v>1762</v>
      </c>
      <c r="K564" s="2" t="s">
        <v>1763</v>
      </c>
      <c r="L564" s="2" t="s">
        <v>1764</v>
      </c>
    </row>
    <row r="565" ht="15.75" customHeight="1">
      <c r="A565" s="13">
        <v>45637.0</v>
      </c>
      <c r="B565" s="2" t="s">
        <v>57</v>
      </c>
      <c r="C565" s="2" t="str">
        <f t="shared" si="3"/>
        <v>Guadalajara</v>
      </c>
      <c r="D565" s="19" t="s">
        <v>2343</v>
      </c>
      <c r="E565" s="19" t="s">
        <v>2344</v>
      </c>
      <c r="F565" s="19" t="s">
        <v>2350</v>
      </c>
      <c r="G565" s="20">
        <v>1198.31</v>
      </c>
      <c r="H565" s="5">
        <v>3.0</v>
      </c>
      <c r="I565" s="20">
        <v>3594.93</v>
      </c>
      <c r="J565" s="2" t="s">
        <v>1765</v>
      </c>
      <c r="K565" s="2" t="s">
        <v>1766</v>
      </c>
      <c r="L565" s="2" t="s">
        <v>1767</v>
      </c>
    </row>
    <row r="566" ht="15.75" customHeight="1">
      <c r="A566" s="13">
        <v>45637.0</v>
      </c>
      <c r="B566" s="2" t="s">
        <v>34</v>
      </c>
      <c r="C566" s="2" t="str">
        <f t="shared" si="3"/>
        <v>Medellín</v>
      </c>
      <c r="D566" s="19" t="s">
        <v>2351</v>
      </c>
      <c r="E566" s="19" t="s">
        <v>2357</v>
      </c>
      <c r="F566" s="19" t="s">
        <v>2345</v>
      </c>
      <c r="G566" s="20">
        <v>569.56</v>
      </c>
      <c r="H566" s="5">
        <v>4.0</v>
      </c>
      <c r="I566" s="20">
        <v>2278.24</v>
      </c>
      <c r="J566" s="2" t="s">
        <v>1768</v>
      </c>
      <c r="K566" s="2" t="s">
        <v>1769</v>
      </c>
      <c r="L566" s="2" t="s">
        <v>1770</v>
      </c>
    </row>
    <row r="567" ht="15.75" customHeight="1">
      <c r="A567" s="13">
        <v>45637.0</v>
      </c>
      <c r="B567" s="3" t="s">
        <v>14</v>
      </c>
      <c r="C567" s="2" t="str">
        <f t="shared" si="3"/>
        <v>Bogotá</v>
      </c>
      <c r="D567" s="19" t="s">
        <v>2340</v>
      </c>
      <c r="E567" s="19" t="s">
        <v>2341</v>
      </c>
      <c r="F567" s="19" t="s">
        <v>2346</v>
      </c>
      <c r="G567" s="20">
        <v>1672.13</v>
      </c>
      <c r="H567" s="5">
        <v>4.0</v>
      </c>
      <c r="I567" s="20">
        <v>6688.52</v>
      </c>
      <c r="J567" s="2" t="s">
        <v>1771</v>
      </c>
      <c r="K567" s="2" t="s">
        <v>1772</v>
      </c>
      <c r="L567" s="2" t="s">
        <v>1773</v>
      </c>
    </row>
    <row r="568" ht="15.75" customHeight="1">
      <c r="A568" s="13">
        <v>45637.0</v>
      </c>
      <c r="B568" s="3" t="s">
        <v>29</v>
      </c>
      <c r="C568" s="2" t="str">
        <f t="shared" si="3"/>
        <v>Ciudad De Mexico</v>
      </c>
      <c r="D568" s="19" t="s">
        <v>2347</v>
      </c>
      <c r="E568" s="19" t="s">
        <v>2358</v>
      </c>
      <c r="F568" s="19" t="s">
        <v>2350</v>
      </c>
      <c r="G568" s="20">
        <v>1603.02</v>
      </c>
      <c r="H568" s="5">
        <v>4.0</v>
      </c>
      <c r="I568" s="20">
        <v>6412.08</v>
      </c>
      <c r="J568" s="2" t="s">
        <v>1774</v>
      </c>
      <c r="K568" s="2" t="s">
        <v>1775</v>
      </c>
      <c r="L568" s="2" t="s">
        <v>1776</v>
      </c>
    </row>
    <row r="569" ht="15.75" customHeight="1">
      <c r="A569" s="13">
        <v>45637.0</v>
      </c>
      <c r="B569" s="3" t="s">
        <v>74</v>
      </c>
      <c r="C569" s="2" t="str">
        <f t="shared" si="3"/>
        <v>Cali</v>
      </c>
      <c r="D569" s="19" t="s">
        <v>2340</v>
      </c>
      <c r="E569" s="19" t="s">
        <v>2355</v>
      </c>
      <c r="F569" s="19" t="s">
        <v>2346</v>
      </c>
      <c r="G569" s="20">
        <v>1076.71</v>
      </c>
      <c r="H569" s="5">
        <v>3.0</v>
      </c>
      <c r="I569" s="20">
        <v>3230.13</v>
      </c>
      <c r="J569" s="2" t="s">
        <v>1777</v>
      </c>
      <c r="K569" s="2" t="s">
        <v>1778</v>
      </c>
      <c r="L569" s="2" t="s">
        <v>1779</v>
      </c>
    </row>
    <row r="570" ht="15.75" customHeight="1">
      <c r="A570" s="13">
        <v>45637.0</v>
      </c>
      <c r="B570" s="2" t="s">
        <v>57</v>
      </c>
      <c r="C570" s="2" t="str">
        <f t="shared" si="3"/>
        <v>Guadalajara</v>
      </c>
      <c r="D570" s="19" t="s">
        <v>2340</v>
      </c>
      <c r="E570" s="19" t="s">
        <v>2349</v>
      </c>
      <c r="F570" s="19" t="s">
        <v>2342</v>
      </c>
      <c r="G570" s="20">
        <v>1203.25</v>
      </c>
      <c r="H570" s="5">
        <v>4.0</v>
      </c>
      <c r="I570" s="20">
        <v>4813.0</v>
      </c>
      <c r="J570" s="2" t="s">
        <v>1780</v>
      </c>
      <c r="K570" s="2" t="s">
        <v>1781</v>
      </c>
      <c r="L570" s="2" t="s">
        <v>1782</v>
      </c>
    </row>
    <row r="571" ht="15.75" customHeight="1">
      <c r="A571" s="13">
        <v>45638.0</v>
      </c>
      <c r="B571" s="3" t="s">
        <v>29</v>
      </c>
      <c r="C571" s="2" t="str">
        <f t="shared" si="3"/>
        <v>Ciudad De Mexico</v>
      </c>
      <c r="D571" s="19" t="s">
        <v>2351</v>
      </c>
      <c r="E571" s="19" t="s">
        <v>2352</v>
      </c>
      <c r="F571" s="19" t="s">
        <v>2345</v>
      </c>
      <c r="G571" s="20">
        <v>1247.13</v>
      </c>
      <c r="H571" s="5">
        <v>5.0</v>
      </c>
      <c r="I571" s="20">
        <v>6235.65</v>
      </c>
      <c r="J571" s="2" t="s">
        <v>1783</v>
      </c>
      <c r="K571" s="2" t="s">
        <v>1784</v>
      </c>
      <c r="L571" s="2" t="s">
        <v>1785</v>
      </c>
    </row>
    <row r="572" ht="15.75" customHeight="1">
      <c r="A572" s="13">
        <v>45638.0</v>
      </c>
      <c r="B572" s="3" t="s">
        <v>9</v>
      </c>
      <c r="C572" s="2" t="str">
        <f t="shared" si="3"/>
        <v>Monterrey</v>
      </c>
      <c r="D572" s="19" t="s">
        <v>2340</v>
      </c>
      <c r="E572" s="19" t="s">
        <v>2349</v>
      </c>
      <c r="F572" s="19" t="s">
        <v>2345</v>
      </c>
      <c r="G572" s="20">
        <v>153.47</v>
      </c>
      <c r="H572" s="5">
        <v>3.0</v>
      </c>
      <c r="I572" s="20">
        <v>460.41</v>
      </c>
      <c r="J572" s="2" t="s">
        <v>1786</v>
      </c>
      <c r="K572" s="2" t="s">
        <v>1787</v>
      </c>
      <c r="L572" s="2" t="s">
        <v>1788</v>
      </c>
    </row>
    <row r="573" ht="15.75" customHeight="1">
      <c r="A573" s="13">
        <v>45638.0</v>
      </c>
      <c r="B573" s="3" t="s">
        <v>29</v>
      </c>
      <c r="C573" s="2" t="str">
        <f t="shared" si="3"/>
        <v>Ciudad De Mexico</v>
      </c>
      <c r="D573" s="19" t="s">
        <v>2347</v>
      </c>
      <c r="E573" s="19" t="s">
        <v>2358</v>
      </c>
      <c r="F573" s="19" t="s">
        <v>2342</v>
      </c>
      <c r="G573" s="20">
        <v>834.63</v>
      </c>
      <c r="H573" s="5">
        <v>4.0</v>
      </c>
      <c r="I573" s="20">
        <v>3338.52</v>
      </c>
      <c r="J573" s="2" t="s">
        <v>1789</v>
      </c>
      <c r="K573" s="2" t="s">
        <v>1790</v>
      </c>
      <c r="L573" s="2" t="s">
        <v>1791</v>
      </c>
    </row>
    <row r="574" ht="15.75" customHeight="1">
      <c r="A574" s="13">
        <v>45638.0</v>
      </c>
      <c r="B574" s="2" t="s">
        <v>57</v>
      </c>
      <c r="C574" s="2" t="str">
        <f t="shared" si="3"/>
        <v>Guadalajara</v>
      </c>
      <c r="D574" s="19" t="s">
        <v>2343</v>
      </c>
      <c r="E574" s="19" t="s">
        <v>2353</v>
      </c>
      <c r="F574" s="19" t="s">
        <v>2350</v>
      </c>
      <c r="G574" s="20">
        <v>1268.59</v>
      </c>
      <c r="H574" s="5">
        <v>4.0</v>
      </c>
      <c r="I574" s="20">
        <v>5074.36</v>
      </c>
      <c r="J574" s="2" t="s">
        <v>1792</v>
      </c>
      <c r="K574" s="2" t="s">
        <v>1793</v>
      </c>
      <c r="L574" s="2" t="s">
        <v>1794</v>
      </c>
    </row>
    <row r="575" ht="15.75" customHeight="1">
      <c r="A575" s="13">
        <v>45638.0</v>
      </c>
      <c r="B575" s="2" t="s">
        <v>57</v>
      </c>
      <c r="C575" s="2" t="str">
        <f t="shared" si="3"/>
        <v>Guadalajara</v>
      </c>
      <c r="D575" s="19" t="s">
        <v>2347</v>
      </c>
      <c r="E575" s="19" t="s">
        <v>2358</v>
      </c>
      <c r="F575" s="19" t="s">
        <v>2346</v>
      </c>
      <c r="G575" s="20">
        <v>181.16</v>
      </c>
      <c r="H575" s="5">
        <v>4.0</v>
      </c>
      <c r="I575" s="20">
        <v>724.64</v>
      </c>
      <c r="J575" s="2" t="s">
        <v>1795</v>
      </c>
      <c r="K575" s="2" t="s">
        <v>1796</v>
      </c>
      <c r="L575" s="2" t="s">
        <v>1797</v>
      </c>
    </row>
    <row r="576" ht="15.75" customHeight="1">
      <c r="A576" s="13">
        <v>45639.0</v>
      </c>
      <c r="B576" s="3" t="s">
        <v>9</v>
      </c>
      <c r="C576" s="2" t="str">
        <f t="shared" si="3"/>
        <v>Monterrey</v>
      </c>
      <c r="D576" s="19" t="s">
        <v>2351</v>
      </c>
      <c r="E576" s="19" t="s">
        <v>2352</v>
      </c>
      <c r="F576" s="19" t="s">
        <v>2346</v>
      </c>
      <c r="G576" s="20">
        <v>934.1</v>
      </c>
      <c r="H576" s="5">
        <v>2.0</v>
      </c>
      <c r="I576" s="20">
        <v>1868.2</v>
      </c>
      <c r="J576" s="2" t="s">
        <v>1798</v>
      </c>
      <c r="K576" s="2" t="s">
        <v>1799</v>
      </c>
      <c r="L576" s="2" t="s">
        <v>1800</v>
      </c>
    </row>
    <row r="577" ht="15.75" customHeight="1">
      <c r="A577" s="13">
        <v>45639.0</v>
      </c>
      <c r="B577" s="3" t="s">
        <v>9</v>
      </c>
      <c r="C577" s="2" t="str">
        <f t="shared" si="3"/>
        <v>Monterrey</v>
      </c>
      <c r="D577" s="19" t="s">
        <v>2347</v>
      </c>
      <c r="E577" s="19" t="s">
        <v>2348</v>
      </c>
      <c r="F577" s="19" t="s">
        <v>2350</v>
      </c>
      <c r="G577" s="20">
        <v>1566.36</v>
      </c>
      <c r="H577" s="5">
        <v>5.0</v>
      </c>
      <c r="I577" s="20">
        <v>7831.8</v>
      </c>
      <c r="J577" s="2" t="s">
        <v>1801</v>
      </c>
      <c r="K577" s="2" t="s">
        <v>1802</v>
      </c>
      <c r="L577" s="2" t="s">
        <v>1803</v>
      </c>
    </row>
    <row r="578" ht="15.75" customHeight="1">
      <c r="A578" s="13">
        <v>45639.0</v>
      </c>
      <c r="B578" s="2" t="s">
        <v>34</v>
      </c>
      <c r="C578" s="2" t="str">
        <f t="shared" si="3"/>
        <v>Medellín</v>
      </c>
      <c r="D578" s="19" t="s">
        <v>2351</v>
      </c>
      <c r="E578" s="19" t="s">
        <v>2352</v>
      </c>
      <c r="F578" s="19" t="s">
        <v>2345</v>
      </c>
      <c r="G578" s="20">
        <v>288.64</v>
      </c>
      <c r="H578" s="5">
        <v>1.0</v>
      </c>
      <c r="I578" s="20">
        <v>288.64</v>
      </c>
      <c r="J578" s="2" t="s">
        <v>1804</v>
      </c>
      <c r="K578" s="2" t="s">
        <v>1805</v>
      </c>
      <c r="L578" s="2" t="s">
        <v>1806</v>
      </c>
    </row>
    <row r="579" ht="15.75" customHeight="1">
      <c r="A579" s="13">
        <v>45639.0</v>
      </c>
      <c r="B579" s="2" t="s">
        <v>57</v>
      </c>
      <c r="C579" s="2" t="str">
        <f t="shared" si="3"/>
        <v>Guadalajara</v>
      </c>
      <c r="D579" s="19" t="s">
        <v>2343</v>
      </c>
      <c r="E579" s="19" t="s">
        <v>2353</v>
      </c>
      <c r="F579" s="19" t="s">
        <v>2342</v>
      </c>
      <c r="G579" s="20">
        <v>1164.16</v>
      </c>
      <c r="H579" s="5">
        <v>4.0</v>
      </c>
      <c r="I579" s="20">
        <v>4656.64</v>
      </c>
      <c r="J579" s="2" t="s">
        <v>1807</v>
      </c>
      <c r="K579" s="2" t="s">
        <v>1808</v>
      </c>
      <c r="L579" s="2" t="s">
        <v>1809</v>
      </c>
    </row>
    <row r="580" ht="15.75" customHeight="1">
      <c r="A580" s="13">
        <v>45639.0</v>
      </c>
      <c r="B580" s="3" t="s">
        <v>14</v>
      </c>
      <c r="C580" s="2" t="str">
        <f t="shared" si="3"/>
        <v>Bogotá</v>
      </c>
      <c r="D580" s="19" t="s">
        <v>2347</v>
      </c>
      <c r="E580" s="19" t="s">
        <v>2348</v>
      </c>
      <c r="F580" s="19" t="s">
        <v>2346</v>
      </c>
      <c r="G580" s="20">
        <v>494.57</v>
      </c>
      <c r="H580" s="5">
        <v>1.0</v>
      </c>
      <c r="I580" s="20">
        <v>494.57</v>
      </c>
      <c r="J580" s="2" t="s">
        <v>1810</v>
      </c>
      <c r="K580" s="2" t="s">
        <v>1811</v>
      </c>
      <c r="L580" s="2" t="s">
        <v>1812</v>
      </c>
    </row>
    <row r="581" ht="15.75" customHeight="1">
      <c r="A581" s="13">
        <v>45639.0</v>
      </c>
      <c r="B581" s="2" t="s">
        <v>57</v>
      </c>
      <c r="C581" s="2" t="str">
        <f t="shared" si="3"/>
        <v>Guadalajara</v>
      </c>
      <c r="D581" s="19" t="s">
        <v>2351</v>
      </c>
      <c r="E581" s="19" t="s">
        <v>2357</v>
      </c>
      <c r="F581" s="19" t="s">
        <v>2345</v>
      </c>
      <c r="G581" s="20">
        <v>2145.76</v>
      </c>
      <c r="H581" s="5">
        <v>5.0</v>
      </c>
      <c r="I581" s="20">
        <v>10728.8</v>
      </c>
      <c r="J581" s="2" t="s">
        <v>1813</v>
      </c>
      <c r="K581" s="2" t="s">
        <v>1814</v>
      </c>
      <c r="L581" s="2" t="s">
        <v>1815</v>
      </c>
    </row>
    <row r="582" ht="15.75" customHeight="1">
      <c r="A582" s="13">
        <v>45640.0</v>
      </c>
      <c r="B582" s="3" t="s">
        <v>74</v>
      </c>
      <c r="C582" s="2" t="str">
        <f t="shared" si="3"/>
        <v>Cali</v>
      </c>
      <c r="D582" s="19" t="s">
        <v>2351</v>
      </c>
      <c r="E582" s="19" t="s">
        <v>2357</v>
      </c>
      <c r="F582" s="19" t="s">
        <v>2350</v>
      </c>
      <c r="G582" s="20">
        <v>2116.69</v>
      </c>
      <c r="H582" s="5">
        <v>2.0</v>
      </c>
      <c r="I582" s="20">
        <v>4233.38</v>
      </c>
      <c r="J582" s="2" t="s">
        <v>1816</v>
      </c>
      <c r="K582" s="2" t="s">
        <v>1817</v>
      </c>
      <c r="L582" s="2" t="s">
        <v>1818</v>
      </c>
    </row>
    <row r="583" ht="15.75" customHeight="1">
      <c r="A583" s="13">
        <v>45640.0</v>
      </c>
      <c r="B583" s="3" t="s">
        <v>9</v>
      </c>
      <c r="C583" s="2" t="str">
        <f t="shared" si="3"/>
        <v>Monterrey</v>
      </c>
      <c r="D583" s="19" t="s">
        <v>2343</v>
      </c>
      <c r="E583" s="19" t="s">
        <v>2359</v>
      </c>
      <c r="F583" s="19" t="s">
        <v>2346</v>
      </c>
      <c r="G583" s="20">
        <v>2312.52</v>
      </c>
      <c r="H583" s="5">
        <v>1.0</v>
      </c>
      <c r="I583" s="20">
        <v>2312.52</v>
      </c>
      <c r="J583" s="2" t="s">
        <v>1819</v>
      </c>
      <c r="K583" s="2" t="s">
        <v>1820</v>
      </c>
      <c r="L583" s="2" t="s">
        <v>1821</v>
      </c>
    </row>
    <row r="584" ht="15.75" customHeight="1">
      <c r="A584" s="13">
        <v>45640.0</v>
      </c>
      <c r="B584" s="2" t="s">
        <v>34</v>
      </c>
      <c r="C584" s="2" t="str">
        <f t="shared" si="3"/>
        <v>Medellín</v>
      </c>
      <c r="D584" s="19" t="s">
        <v>2351</v>
      </c>
      <c r="E584" s="19" t="s">
        <v>2357</v>
      </c>
      <c r="F584" s="19" t="s">
        <v>2342</v>
      </c>
      <c r="G584" s="20">
        <v>516.02</v>
      </c>
      <c r="H584" s="5">
        <v>4.0</v>
      </c>
      <c r="I584" s="20">
        <v>2064.08</v>
      </c>
      <c r="J584" s="2" t="s">
        <v>1822</v>
      </c>
      <c r="K584" s="2" t="s">
        <v>1823</v>
      </c>
      <c r="L584" s="2" t="s">
        <v>1824</v>
      </c>
    </row>
    <row r="585" ht="15.75" customHeight="1">
      <c r="A585" s="13">
        <v>45640.0</v>
      </c>
      <c r="B585" s="3" t="s">
        <v>14</v>
      </c>
      <c r="C585" s="2" t="str">
        <f t="shared" si="3"/>
        <v>Bogotá</v>
      </c>
      <c r="D585" s="19" t="s">
        <v>2351</v>
      </c>
      <c r="E585" s="19" t="s">
        <v>2354</v>
      </c>
      <c r="F585" s="19" t="s">
        <v>2345</v>
      </c>
      <c r="G585" s="20">
        <v>177.74</v>
      </c>
      <c r="H585" s="5">
        <v>4.0</v>
      </c>
      <c r="I585" s="20">
        <v>710.96</v>
      </c>
      <c r="J585" s="2" t="s">
        <v>1825</v>
      </c>
      <c r="K585" s="2" t="s">
        <v>1826</v>
      </c>
      <c r="L585" s="2" t="s">
        <v>1827</v>
      </c>
    </row>
    <row r="586" ht="15.75" customHeight="1">
      <c r="A586" s="13">
        <v>45640.0</v>
      </c>
      <c r="B586" s="3" t="s">
        <v>29</v>
      </c>
      <c r="C586" s="2" t="str">
        <f t="shared" si="3"/>
        <v>Ciudad De Mexico</v>
      </c>
      <c r="D586" s="19" t="s">
        <v>2351</v>
      </c>
      <c r="E586" s="19" t="s">
        <v>2352</v>
      </c>
      <c r="F586" s="19" t="s">
        <v>2346</v>
      </c>
      <c r="G586" s="20">
        <v>2083.24</v>
      </c>
      <c r="H586" s="5">
        <v>1.0</v>
      </c>
      <c r="I586" s="20">
        <v>2083.24</v>
      </c>
      <c r="J586" s="2" t="s">
        <v>1828</v>
      </c>
      <c r="K586" s="2" t="s">
        <v>1829</v>
      </c>
      <c r="L586" s="2" t="s">
        <v>1830</v>
      </c>
    </row>
    <row r="587" ht="15.75" customHeight="1">
      <c r="A587" s="13">
        <v>45640.0</v>
      </c>
      <c r="B587" s="3" t="s">
        <v>29</v>
      </c>
      <c r="C587" s="2" t="str">
        <f t="shared" si="3"/>
        <v>Ciudad De Mexico</v>
      </c>
      <c r="D587" s="19" t="s">
        <v>2340</v>
      </c>
      <c r="E587" s="19" t="s">
        <v>2341</v>
      </c>
      <c r="F587" s="19" t="s">
        <v>2345</v>
      </c>
      <c r="G587" s="20">
        <v>818.61</v>
      </c>
      <c r="H587" s="5">
        <v>3.0</v>
      </c>
      <c r="I587" s="20">
        <v>2455.83</v>
      </c>
      <c r="J587" s="2" t="s">
        <v>1831</v>
      </c>
      <c r="K587" s="2" t="s">
        <v>1832</v>
      </c>
      <c r="L587" s="2" t="s">
        <v>1833</v>
      </c>
    </row>
    <row r="588" ht="15.75" customHeight="1">
      <c r="A588" s="13">
        <v>45640.0</v>
      </c>
      <c r="B588" s="3" t="s">
        <v>9</v>
      </c>
      <c r="C588" s="2" t="str">
        <f t="shared" si="3"/>
        <v>Monterrey</v>
      </c>
      <c r="D588" s="19" t="s">
        <v>2343</v>
      </c>
      <c r="E588" s="19" t="s">
        <v>2344</v>
      </c>
      <c r="F588" s="19" t="s">
        <v>2345</v>
      </c>
      <c r="G588" s="20">
        <v>2389.97</v>
      </c>
      <c r="H588" s="5">
        <v>3.0</v>
      </c>
      <c r="I588" s="20">
        <v>7169.91</v>
      </c>
      <c r="J588" s="2" t="s">
        <v>1834</v>
      </c>
      <c r="K588" s="2" t="s">
        <v>1835</v>
      </c>
      <c r="L588" s="2" t="s">
        <v>1836</v>
      </c>
    </row>
    <row r="589" ht="15.75" customHeight="1">
      <c r="A589" s="13">
        <v>45640.0</v>
      </c>
      <c r="B589" s="2" t="s">
        <v>57</v>
      </c>
      <c r="C589" s="2" t="str">
        <f t="shared" si="3"/>
        <v>Guadalajara</v>
      </c>
      <c r="D589" s="19" t="s">
        <v>2351</v>
      </c>
      <c r="E589" s="19" t="s">
        <v>2357</v>
      </c>
      <c r="F589" s="19" t="s">
        <v>2350</v>
      </c>
      <c r="G589" s="20">
        <v>997.09</v>
      </c>
      <c r="H589" s="5">
        <v>2.0</v>
      </c>
      <c r="I589" s="20">
        <v>1994.18</v>
      </c>
      <c r="J589" s="2" t="s">
        <v>1837</v>
      </c>
      <c r="K589" s="2" t="s">
        <v>1838</v>
      </c>
      <c r="L589" s="2" t="s">
        <v>1839</v>
      </c>
    </row>
    <row r="590" ht="15.75" customHeight="1">
      <c r="A590" s="13">
        <v>45640.0</v>
      </c>
      <c r="B590" s="3" t="s">
        <v>29</v>
      </c>
      <c r="C590" s="2" t="str">
        <f t="shared" si="3"/>
        <v>Ciudad De Mexico</v>
      </c>
      <c r="D590" s="19" t="s">
        <v>2340</v>
      </c>
      <c r="E590" s="19" t="s">
        <v>2355</v>
      </c>
      <c r="F590" s="19" t="s">
        <v>2346</v>
      </c>
      <c r="G590" s="20">
        <v>1939.56</v>
      </c>
      <c r="H590" s="5">
        <v>5.0</v>
      </c>
      <c r="I590" s="20">
        <v>9697.8</v>
      </c>
      <c r="J590" s="2" t="s">
        <v>1840</v>
      </c>
      <c r="K590" s="2" t="s">
        <v>1841</v>
      </c>
      <c r="L590" s="2" t="s">
        <v>1842</v>
      </c>
    </row>
    <row r="591" ht="15.75" customHeight="1">
      <c r="A591" s="13">
        <v>45641.0</v>
      </c>
      <c r="B591" s="3" t="s">
        <v>9</v>
      </c>
      <c r="C591" s="2" t="str">
        <f t="shared" si="3"/>
        <v>Monterrey</v>
      </c>
      <c r="D591" s="19" t="s">
        <v>2340</v>
      </c>
      <c r="E591" s="19" t="s">
        <v>2355</v>
      </c>
      <c r="F591" s="19" t="s">
        <v>2342</v>
      </c>
      <c r="G591" s="20">
        <v>787.6</v>
      </c>
      <c r="H591" s="5">
        <v>1.0</v>
      </c>
      <c r="I591" s="20">
        <v>787.6</v>
      </c>
      <c r="J591" s="2" t="s">
        <v>1843</v>
      </c>
      <c r="K591" s="2" t="s">
        <v>1844</v>
      </c>
      <c r="L591" s="2" t="s">
        <v>1845</v>
      </c>
    </row>
    <row r="592" ht="15.75" customHeight="1">
      <c r="A592" s="13">
        <v>45641.0</v>
      </c>
      <c r="B592" s="3" t="s">
        <v>9</v>
      </c>
      <c r="C592" s="2" t="str">
        <f t="shared" si="3"/>
        <v>Monterrey</v>
      </c>
      <c r="D592" s="19" t="s">
        <v>2347</v>
      </c>
      <c r="E592" s="19" t="s">
        <v>2358</v>
      </c>
      <c r="F592" s="19" t="s">
        <v>2346</v>
      </c>
      <c r="G592" s="20">
        <v>1710.52</v>
      </c>
      <c r="H592" s="5">
        <v>2.0</v>
      </c>
      <c r="I592" s="20">
        <v>3421.04</v>
      </c>
      <c r="J592" s="2" t="s">
        <v>1846</v>
      </c>
      <c r="K592" s="2" t="s">
        <v>1847</v>
      </c>
      <c r="L592" s="2" t="s">
        <v>1848</v>
      </c>
    </row>
    <row r="593" ht="15.75" customHeight="1">
      <c r="A593" s="13">
        <v>45641.0</v>
      </c>
      <c r="B593" s="2" t="s">
        <v>57</v>
      </c>
      <c r="C593" s="2" t="str">
        <f t="shared" si="3"/>
        <v>Guadalajara</v>
      </c>
      <c r="D593" s="19" t="s">
        <v>2351</v>
      </c>
      <c r="E593" s="19" t="s">
        <v>2354</v>
      </c>
      <c r="F593" s="19" t="s">
        <v>2342</v>
      </c>
      <c r="G593" s="20">
        <v>817.31</v>
      </c>
      <c r="H593" s="5">
        <v>2.0</v>
      </c>
      <c r="I593" s="20">
        <v>1634.62</v>
      </c>
      <c r="J593" s="2" t="s">
        <v>1849</v>
      </c>
      <c r="K593" s="2" t="s">
        <v>1850</v>
      </c>
      <c r="L593" s="2" t="s">
        <v>1851</v>
      </c>
    </row>
    <row r="594" ht="15.75" customHeight="1">
      <c r="A594" s="13">
        <v>45641.0</v>
      </c>
      <c r="B594" s="3" t="s">
        <v>14</v>
      </c>
      <c r="C594" s="2" t="str">
        <f t="shared" si="3"/>
        <v>Bogotá</v>
      </c>
      <c r="D594" s="19" t="s">
        <v>2343</v>
      </c>
      <c r="E594" s="19" t="s">
        <v>2353</v>
      </c>
      <c r="F594" s="19" t="s">
        <v>2345</v>
      </c>
      <c r="G594" s="20">
        <v>101.1</v>
      </c>
      <c r="H594" s="5">
        <v>3.0</v>
      </c>
      <c r="I594" s="20">
        <v>303.3</v>
      </c>
      <c r="J594" s="2" t="s">
        <v>1852</v>
      </c>
      <c r="K594" s="2" t="s">
        <v>1853</v>
      </c>
      <c r="L594" s="2" t="s">
        <v>1854</v>
      </c>
    </row>
    <row r="595" ht="15.75" customHeight="1">
      <c r="A595" s="13">
        <v>45641.0</v>
      </c>
      <c r="B595" s="3" t="s">
        <v>9</v>
      </c>
      <c r="C595" s="2" t="str">
        <f t="shared" si="3"/>
        <v>Monterrey</v>
      </c>
      <c r="D595" s="19" t="s">
        <v>2351</v>
      </c>
      <c r="E595" s="19" t="s">
        <v>2357</v>
      </c>
      <c r="F595" s="19" t="s">
        <v>2346</v>
      </c>
      <c r="G595" s="20">
        <v>303.05</v>
      </c>
      <c r="H595" s="5">
        <v>1.0</v>
      </c>
      <c r="I595" s="20">
        <v>303.05</v>
      </c>
      <c r="J595" s="2" t="s">
        <v>1855</v>
      </c>
      <c r="K595" s="2" t="s">
        <v>1856</v>
      </c>
      <c r="L595" s="2" t="s">
        <v>1857</v>
      </c>
    </row>
    <row r="596" ht="15.75" customHeight="1">
      <c r="A596" s="13">
        <v>45641.0</v>
      </c>
      <c r="B596" s="3" t="s">
        <v>74</v>
      </c>
      <c r="C596" s="2" t="str">
        <f t="shared" si="3"/>
        <v>Cali</v>
      </c>
      <c r="D596" s="19" t="s">
        <v>2351</v>
      </c>
      <c r="E596" s="19" t="s">
        <v>2354</v>
      </c>
      <c r="F596" s="19" t="s">
        <v>2346</v>
      </c>
      <c r="G596" s="20">
        <v>806.78</v>
      </c>
      <c r="H596" s="5">
        <v>1.0</v>
      </c>
      <c r="I596" s="20">
        <v>806.78</v>
      </c>
      <c r="J596" s="2" t="s">
        <v>1858</v>
      </c>
      <c r="K596" s="2" t="s">
        <v>1859</v>
      </c>
      <c r="L596" s="2" t="s">
        <v>1860</v>
      </c>
    </row>
    <row r="597" ht="15.75" customHeight="1">
      <c r="A597" s="13">
        <v>45641.0</v>
      </c>
      <c r="B597" s="2" t="s">
        <v>57</v>
      </c>
      <c r="C597" s="2" t="str">
        <f t="shared" si="3"/>
        <v>Guadalajara</v>
      </c>
      <c r="D597" s="19" t="s">
        <v>2340</v>
      </c>
      <c r="E597" s="19" t="s">
        <v>2349</v>
      </c>
      <c r="F597" s="19" t="s">
        <v>2342</v>
      </c>
      <c r="G597" s="20">
        <v>741.53</v>
      </c>
      <c r="H597" s="5">
        <v>3.0</v>
      </c>
      <c r="I597" s="20">
        <v>2224.59</v>
      </c>
      <c r="J597" s="2" t="s">
        <v>1861</v>
      </c>
      <c r="K597" s="2" t="s">
        <v>1862</v>
      </c>
      <c r="L597" s="2" t="s">
        <v>1863</v>
      </c>
    </row>
    <row r="598" ht="15.75" customHeight="1">
      <c r="A598" s="13">
        <v>45641.0</v>
      </c>
      <c r="B598" s="3" t="s">
        <v>29</v>
      </c>
      <c r="C598" s="2" t="str">
        <f t="shared" si="3"/>
        <v>Ciudad De Mexico</v>
      </c>
      <c r="D598" s="19" t="s">
        <v>2347</v>
      </c>
      <c r="E598" s="19" t="s">
        <v>2348</v>
      </c>
      <c r="F598" s="19" t="s">
        <v>2345</v>
      </c>
      <c r="G598" s="20">
        <v>1423.68</v>
      </c>
      <c r="H598" s="5">
        <v>1.0</v>
      </c>
      <c r="I598" s="20">
        <v>1423.68</v>
      </c>
      <c r="J598" s="2" t="s">
        <v>1864</v>
      </c>
      <c r="K598" s="2" t="s">
        <v>1865</v>
      </c>
      <c r="L598" s="2" t="s">
        <v>1866</v>
      </c>
    </row>
    <row r="599" ht="15.75" customHeight="1">
      <c r="A599" s="13">
        <v>45642.0</v>
      </c>
      <c r="B599" s="3" t="s">
        <v>9</v>
      </c>
      <c r="C599" s="2" t="str">
        <f t="shared" si="3"/>
        <v>Monterrey</v>
      </c>
      <c r="D599" s="19" t="s">
        <v>2347</v>
      </c>
      <c r="E599" s="19" t="s">
        <v>2356</v>
      </c>
      <c r="F599" s="19" t="s">
        <v>2350</v>
      </c>
      <c r="G599" s="20">
        <v>658.01</v>
      </c>
      <c r="H599" s="5">
        <v>5.0</v>
      </c>
      <c r="I599" s="20">
        <v>3290.05</v>
      </c>
      <c r="J599" s="2" t="s">
        <v>1867</v>
      </c>
      <c r="K599" s="2" t="s">
        <v>1868</v>
      </c>
      <c r="L599" s="2" t="s">
        <v>1869</v>
      </c>
    </row>
    <row r="600" ht="15.75" customHeight="1">
      <c r="A600" s="13">
        <v>45642.0</v>
      </c>
      <c r="B600" s="2" t="s">
        <v>34</v>
      </c>
      <c r="C600" s="2" t="str">
        <f t="shared" si="3"/>
        <v>Medellín</v>
      </c>
      <c r="D600" s="19" t="s">
        <v>2351</v>
      </c>
      <c r="E600" s="19" t="s">
        <v>2357</v>
      </c>
      <c r="F600" s="19" t="s">
        <v>2342</v>
      </c>
      <c r="G600" s="20">
        <v>421.27</v>
      </c>
      <c r="H600" s="5">
        <v>4.0</v>
      </c>
      <c r="I600" s="20">
        <v>1685.08</v>
      </c>
      <c r="J600" s="2" t="s">
        <v>1870</v>
      </c>
      <c r="K600" s="2" t="s">
        <v>1871</v>
      </c>
      <c r="L600" s="2" t="s">
        <v>1872</v>
      </c>
    </row>
    <row r="601" ht="15.75" customHeight="1">
      <c r="A601" s="13">
        <v>45642.0</v>
      </c>
      <c r="B601" s="3" t="s">
        <v>74</v>
      </c>
      <c r="C601" s="2" t="str">
        <f t="shared" si="3"/>
        <v>Cali</v>
      </c>
      <c r="D601" s="19" t="s">
        <v>2347</v>
      </c>
      <c r="E601" s="19" t="s">
        <v>2348</v>
      </c>
      <c r="F601" s="19" t="s">
        <v>2346</v>
      </c>
      <c r="G601" s="20">
        <v>814.63</v>
      </c>
      <c r="H601" s="5">
        <v>1.0</v>
      </c>
      <c r="I601" s="20">
        <v>814.63</v>
      </c>
      <c r="J601" s="2" t="s">
        <v>1873</v>
      </c>
      <c r="K601" s="2" t="s">
        <v>1874</v>
      </c>
      <c r="L601" s="2" t="s">
        <v>1875</v>
      </c>
    </row>
    <row r="602" ht="15.75" customHeight="1">
      <c r="A602" s="13">
        <v>45642.0</v>
      </c>
      <c r="B602" s="2" t="s">
        <v>34</v>
      </c>
      <c r="C602" s="2" t="str">
        <f t="shared" si="3"/>
        <v>Medellín</v>
      </c>
      <c r="D602" s="19" t="s">
        <v>2347</v>
      </c>
      <c r="E602" s="19" t="s">
        <v>2348</v>
      </c>
      <c r="F602" s="19" t="s">
        <v>2346</v>
      </c>
      <c r="G602" s="20">
        <v>205.57</v>
      </c>
      <c r="H602" s="5">
        <v>5.0</v>
      </c>
      <c r="I602" s="20">
        <v>1027.85</v>
      </c>
      <c r="J602" s="2" t="s">
        <v>1876</v>
      </c>
      <c r="K602" s="2" t="s">
        <v>1877</v>
      </c>
      <c r="L602" s="2" t="s">
        <v>1878</v>
      </c>
    </row>
    <row r="603" ht="15.75" customHeight="1">
      <c r="A603" s="13">
        <v>45642.0</v>
      </c>
      <c r="B603" s="2" t="s">
        <v>34</v>
      </c>
      <c r="C603" s="2" t="str">
        <f t="shared" si="3"/>
        <v>Medellín</v>
      </c>
      <c r="D603" s="19" t="s">
        <v>2347</v>
      </c>
      <c r="E603" s="19" t="s">
        <v>2356</v>
      </c>
      <c r="F603" s="19" t="s">
        <v>2350</v>
      </c>
      <c r="G603" s="20">
        <v>785.82</v>
      </c>
      <c r="H603" s="5">
        <v>2.0</v>
      </c>
      <c r="I603" s="20">
        <v>1571.64</v>
      </c>
      <c r="J603" s="2" t="s">
        <v>1879</v>
      </c>
      <c r="K603" s="2" t="s">
        <v>1880</v>
      </c>
      <c r="L603" s="2" t="s">
        <v>1881</v>
      </c>
    </row>
    <row r="604" ht="15.75" customHeight="1">
      <c r="A604" s="13">
        <v>45642.0</v>
      </c>
      <c r="B604" s="3" t="s">
        <v>29</v>
      </c>
      <c r="C604" s="2" t="str">
        <f t="shared" si="3"/>
        <v>Ciudad De Mexico</v>
      </c>
      <c r="D604" s="19" t="s">
        <v>2343</v>
      </c>
      <c r="E604" s="19" t="s">
        <v>2353</v>
      </c>
      <c r="F604" s="19" t="s">
        <v>2342</v>
      </c>
      <c r="G604" s="20">
        <v>1220.85</v>
      </c>
      <c r="H604" s="5">
        <v>1.0</v>
      </c>
      <c r="I604" s="20">
        <v>1220.85</v>
      </c>
      <c r="J604" s="2" t="s">
        <v>1882</v>
      </c>
      <c r="K604" s="2" t="s">
        <v>1883</v>
      </c>
      <c r="L604" s="2" t="s">
        <v>1884</v>
      </c>
    </row>
    <row r="605" ht="15.75" customHeight="1">
      <c r="A605" s="13">
        <v>45642.0</v>
      </c>
      <c r="B605" s="2" t="s">
        <v>57</v>
      </c>
      <c r="C605" s="2" t="str">
        <f t="shared" si="3"/>
        <v>Guadalajara</v>
      </c>
      <c r="D605" s="19" t="s">
        <v>2351</v>
      </c>
      <c r="E605" s="19" t="s">
        <v>2354</v>
      </c>
      <c r="F605" s="19" t="s">
        <v>2350</v>
      </c>
      <c r="G605" s="20">
        <v>2281.01</v>
      </c>
      <c r="H605" s="5">
        <v>4.0</v>
      </c>
      <c r="I605" s="20">
        <v>9124.04</v>
      </c>
      <c r="J605" s="2" t="s">
        <v>1885</v>
      </c>
      <c r="K605" s="2" t="s">
        <v>1886</v>
      </c>
      <c r="L605" s="2" t="s">
        <v>1887</v>
      </c>
    </row>
    <row r="606" ht="15.75" customHeight="1">
      <c r="A606" s="13">
        <v>45642.0</v>
      </c>
      <c r="B606" s="3" t="s">
        <v>14</v>
      </c>
      <c r="C606" s="2" t="str">
        <f t="shared" si="3"/>
        <v>Bogotá</v>
      </c>
      <c r="D606" s="19" t="s">
        <v>2343</v>
      </c>
      <c r="E606" s="19" t="s">
        <v>2353</v>
      </c>
      <c r="F606" s="19" t="s">
        <v>2342</v>
      </c>
      <c r="G606" s="20">
        <v>763.21</v>
      </c>
      <c r="H606" s="5">
        <v>5.0</v>
      </c>
      <c r="I606" s="20">
        <v>3816.05</v>
      </c>
      <c r="J606" s="2" t="s">
        <v>1888</v>
      </c>
      <c r="K606" s="2" t="s">
        <v>1889</v>
      </c>
      <c r="L606" s="2" t="s">
        <v>1890</v>
      </c>
    </row>
    <row r="607" ht="15.75" customHeight="1">
      <c r="A607" s="13">
        <v>45642.0</v>
      </c>
      <c r="B607" s="3" t="s">
        <v>74</v>
      </c>
      <c r="C607" s="2" t="str">
        <f t="shared" si="3"/>
        <v>Cali</v>
      </c>
      <c r="D607" s="19" t="s">
        <v>2351</v>
      </c>
      <c r="E607" s="19" t="s">
        <v>2357</v>
      </c>
      <c r="F607" s="19" t="s">
        <v>2350</v>
      </c>
      <c r="G607" s="20">
        <v>1711.88</v>
      </c>
      <c r="H607" s="5">
        <v>2.0</v>
      </c>
      <c r="I607" s="20">
        <v>3423.76</v>
      </c>
      <c r="J607" s="2" t="s">
        <v>1891</v>
      </c>
      <c r="K607" s="2" t="s">
        <v>1892</v>
      </c>
      <c r="L607" s="2" t="s">
        <v>1893</v>
      </c>
    </row>
    <row r="608" ht="15.75" customHeight="1">
      <c r="A608" s="13">
        <v>45642.0</v>
      </c>
      <c r="B608" s="2" t="s">
        <v>34</v>
      </c>
      <c r="C608" s="2" t="str">
        <f t="shared" si="3"/>
        <v>Medellín</v>
      </c>
      <c r="D608" s="19" t="s">
        <v>2343</v>
      </c>
      <c r="E608" s="19" t="s">
        <v>2344</v>
      </c>
      <c r="F608" s="19" t="s">
        <v>2346</v>
      </c>
      <c r="G608" s="20">
        <v>1252.47</v>
      </c>
      <c r="H608" s="5">
        <v>5.0</v>
      </c>
      <c r="I608" s="20">
        <v>6262.35</v>
      </c>
      <c r="J608" s="2" t="s">
        <v>1894</v>
      </c>
      <c r="K608" s="2" t="s">
        <v>1895</v>
      </c>
      <c r="L608" s="2" t="s">
        <v>1896</v>
      </c>
    </row>
    <row r="609" ht="15.75" customHeight="1">
      <c r="A609" s="13">
        <v>45642.0</v>
      </c>
      <c r="B609" s="2" t="s">
        <v>34</v>
      </c>
      <c r="C609" s="2" t="str">
        <f t="shared" si="3"/>
        <v>Medellín</v>
      </c>
      <c r="D609" s="19" t="s">
        <v>2340</v>
      </c>
      <c r="E609" s="19" t="s">
        <v>2349</v>
      </c>
      <c r="F609" s="19" t="s">
        <v>2346</v>
      </c>
      <c r="G609" s="20">
        <v>1119.17</v>
      </c>
      <c r="H609" s="5">
        <v>5.0</v>
      </c>
      <c r="I609" s="20">
        <v>5595.85</v>
      </c>
      <c r="J609" s="2" t="s">
        <v>1897</v>
      </c>
      <c r="K609" s="2" t="s">
        <v>1898</v>
      </c>
      <c r="L609" s="2" t="s">
        <v>1899</v>
      </c>
    </row>
    <row r="610" ht="15.75" customHeight="1">
      <c r="A610" s="13">
        <v>45642.0</v>
      </c>
      <c r="B610" s="3" t="s">
        <v>9</v>
      </c>
      <c r="C610" s="2" t="str">
        <f t="shared" si="3"/>
        <v>Monterrey</v>
      </c>
      <c r="D610" s="19" t="s">
        <v>2351</v>
      </c>
      <c r="E610" s="19" t="s">
        <v>2357</v>
      </c>
      <c r="F610" s="19" t="s">
        <v>2345</v>
      </c>
      <c r="G610" s="20">
        <v>842.36</v>
      </c>
      <c r="H610" s="5">
        <v>5.0</v>
      </c>
      <c r="I610" s="20">
        <v>4211.8</v>
      </c>
      <c r="J610" s="2" t="s">
        <v>1900</v>
      </c>
      <c r="K610" s="2" t="s">
        <v>1901</v>
      </c>
      <c r="L610" s="2" t="s">
        <v>1902</v>
      </c>
    </row>
    <row r="611" ht="15.75" customHeight="1">
      <c r="A611" s="13">
        <v>45643.0</v>
      </c>
      <c r="B611" s="3" t="s">
        <v>74</v>
      </c>
      <c r="C611" s="2" t="str">
        <f t="shared" si="3"/>
        <v>Cali</v>
      </c>
      <c r="D611" s="19" t="s">
        <v>2343</v>
      </c>
      <c r="E611" s="19" t="s">
        <v>2360</v>
      </c>
      <c r="F611" s="19" t="s">
        <v>2345</v>
      </c>
      <c r="G611" s="20">
        <v>1771.25</v>
      </c>
      <c r="H611" s="5">
        <v>4.0</v>
      </c>
      <c r="I611" s="20">
        <v>7085.0</v>
      </c>
      <c r="J611" s="2" t="s">
        <v>1903</v>
      </c>
      <c r="K611" s="2" t="s">
        <v>1904</v>
      </c>
      <c r="L611" s="2" t="s">
        <v>1905</v>
      </c>
    </row>
    <row r="612" ht="15.75" customHeight="1">
      <c r="A612" s="13">
        <v>45643.0</v>
      </c>
      <c r="B612" s="3" t="s">
        <v>74</v>
      </c>
      <c r="C612" s="2" t="str">
        <f t="shared" si="3"/>
        <v>Cali</v>
      </c>
      <c r="D612" s="19" t="s">
        <v>2340</v>
      </c>
      <c r="E612" s="19" t="s">
        <v>2355</v>
      </c>
      <c r="F612" s="19" t="s">
        <v>2342</v>
      </c>
      <c r="G612" s="20">
        <v>1865.58</v>
      </c>
      <c r="H612" s="5">
        <v>2.0</v>
      </c>
      <c r="I612" s="20">
        <v>3731.16</v>
      </c>
      <c r="J612" s="2" t="s">
        <v>1906</v>
      </c>
      <c r="K612" s="2" t="s">
        <v>1907</v>
      </c>
      <c r="L612" s="2" t="s">
        <v>1908</v>
      </c>
    </row>
    <row r="613" ht="15.75" customHeight="1">
      <c r="A613" s="13">
        <v>45643.0</v>
      </c>
      <c r="B613" s="3" t="s">
        <v>14</v>
      </c>
      <c r="C613" s="2" t="str">
        <f t="shared" si="3"/>
        <v>Bogotá</v>
      </c>
      <c r="D613" s="19" t="s">
        <v>2351</v>
      </c>
      <c r="E613" s="19" t="s">
        <v>2352</v>
      </c>
      <c r="F613" s="19" t="s">
        <v>2345</v>
      </c>
      <c r="G613" s="20">
        <v>1615.07</v>
      </c>
      <c r="H613" s="5">
        <v>3.0</v>
      </c>
      <c r="I613" s="20">
        <v>4845.21</v>
      </c>
      <c r="J613" s="2" t="s">
        <v>1909</v>
      </c>
      <c r="K613" s="2" t="s">
        <v>1910</v>
      </c>
      <c r="L613" s="2" t="s">
        <v>1911</v>
      </c>
    </row>
    <row r="614" ht="15.75" customHeight="1">
      <c r="A614" s="13">
        <v>45643.0</v>
      </c>
      <c r="B614" s="3" t="s">
        <v>74</v>
      </c>
      <c r="C614" s="2" t="str">
        <f t="shared" si="3"/>
        <v>Cali</v>
      </c>
      <c r="D614" s="19" t="s">
        <v>2343</v>
      </c>
      <c r="E614" s="19" t="s">
        <v>2360</v>
      </c>
      <c r="F614" s="19" t="s">
        <v>2350</v>
      </c>
      <c r="G614" s="20">
        <v>1627.59</v>
      </c>
      <c r="H614" s="5">
        <v>1.0</v>
      </c>
      <c r="I614" s="20">
        <v>1627.59</v>
      </c>
      <c r="J614" s="2" t="s">
        <v>1912</v>
      </c>
      <c r="K614" s="2" t="s">
        <v>1913</v>
      </c>
      <c r="L614" s="2" t="s">
        <v>1914</v>
      </c>
    </row>
    <row r="615" ht="15.75" customHeight="1">
      <c r="A615" s="13">
        <v>45643.0</v>
      </c>
      <c r="B615" s="3" t="s">
        <v>74</v>
      </c>
      <c r="C615" s="2" t="str">
        <f t="shared" si="3"/>
        <v>Cali</v>
      </c>
      <c r="D615" s="19" t="s">
        <v>2347</v>
      </c>
      <c r="E615" s="19" t="s">
        <v>2348</v>
      </c>
      <c r="F615" s="19" t="s">
        <v>2350</v>
      </c>
      <c r="G615" s="20">
        <v>1700.41</v>
      </c>
      <c r="H615" s="5">
        <v>4.0</v>
      </c>
      <c r="I615" s="20">
        <v>6801.64</v>
      </c>
      <c r="J615" s="2" t="s">
        <v>1915</v>
      </c>
      <c r="K615" s="2" t="s">
        <v>1916</v>
      </c>
      <c r="L615" s="2" t="s">
        <v>1917</v>
      </c>
    </row>
    <row r="616" ht="15.75" customHeight="1">
      <c r="A616" s="13">
        <v>45643.0</v>
      </c>
      <c r="B616" s="3" t="s">
        <v>29</v>
      </c>
      <c r="C616" s="2" t="str">
        <f t="shared" si="3"/>
        <v>Ciudad De Mexico</v>
      </c>
      <c r="D616" s="19" t="s">
        <v>2351</v>
      </c>
      <c r="E616" s="19" t="s">
        <v>2357</v>
      </c>
      <c r="F616" s="19" t="s">
        <v>2342</v>
      </c>
      <c r="G616" s="20">
        <v>1035.07</v>
      </c>
      <c r="H616" s="5">
        <v>1.0</v>
      </c>
      <c r="I616" s="20">
        <v>1035.07</v>
      </c>
      <c r="J616" s="2" t="s">
        <v>1918</v>
      </c>
      <c r="K616" s="2" t="s">
        <v>1919</v>
      </c>
      <c r="L616" s="2" t="s">
        <v>1920</v>
      </c>
    </row>
    <row r="617" ht="15.75" customHeight="1">
      <c r="A617" s="13">
        <v>45643.0</v>
      </c>
      <c r="B617" s="3" t="s">
        <v>74</v>
      </c>
      <c r="C617" s="2" t="str">
        <f t="shared" si="3"/>
        <v>Cali</v>
      </c>
      <c r="D617" s="19" t="s">
        <v>2351</v>
      </c>
      <c r="E617" s="19" t="s">
        <v>2357</v>
      </c>
      <c r="F617" s="19" t="s">
        <v>2350</v>
      </c>
      <c r="G617" s="20">
        <v>771.57</v>
      </c>
      <c r="H617" s="5">
        <v>5.0</v>
      </c>
      <c r="I617" s="20">
        <v>3857.85</v>
      </c>
      <c r="J617" s="2" t="s">
        <v>1921</v>
      </c>
      <c r="K617" s="2" t="s">
        <v>1922</v>
      </c>
      <c r="L617" s="2" t="s">
        <v>1923</v>
      </c>
    </row>
    <row r="618" ht="15.75" customHeight="1">
      <c r="A618" s="13">
        <v>45643.0</v>
      </c>
      <c r="B618" s="3" t="s">
        <v>14</v>
      </c>
      <c r="C618" s="2" t="str">
        <f t="shared" si="3"/>
        <v>Bogotá</v>
      </c>
      <c r="D618" s="19" t="s">
        <v>2351</v>
      </c>
      <c r="E618" s="19" t="s">
        <v>2354</v>
      </c>
      <c r="F618" s="19" t="s">
        <v>2345</v>
      </c>
      <c r="G618" s="20">
        <v>1698.28</v>
      </c>
      <c r="H618" s="5">
        <v>3.0</v>
      </c>
      <c r="I618" s="20">
        <v>5094.84</v>
      </c>
      <c r="J618" s="2" t="s">
        <v>1924</v>
      </c>
      <c r="K618" s="2" t="s">
        <v>1925</v>
      </c>
      <c r="L618" s="2" t="s">
        <v>1926</v>
      </c>
    </row>
    <row r="619" ht="15.75" customHeight="1">
      <c r="A619" s="13">
        <v>45644.0</v>
      </c>
      <c r="B619" s="3" t="s">
        <v>14</v>
      </c>
      <c r="C619" s="2" t="str">
        <f t="shared" si="3"/>
        <v>Bogotá</v>
      </c>
      <c r="D619" s="19" t="s">
        <v>2351</v>
      </c>
      <c r="E619" s="19" t="s">
        <v>2354</v>
      </c>
      <c r="F619" s="19" t="s">
        <v>2346</v>
      </c>
      <c r="G619" s="20">
        <v>602.68</v>
      </c>
      <c r="H619" s="5">
        <v>3.0</v>
      </c>
      <c r="I619" s="20">
        <v>1808.04</v>
      </c>
      <c r="J619" s="2" t="s">
        <v>1927</v>
      </c>
      <c r="K619" s="2" t="s">
        <v>1928</v>
      </c>
      <c r="L619" s="2" t="s">
        <v>1929</v>
      </c>
    </row>
    <row r="620" ht="15.75" customHeight="1">
      <c r="A620" s="13">
        <v>45644.0</v>
      </c>
      <c r="B620" s="2" t="s">
        <v>34</v>
      </c>
      <c r="C620" s="2" t="str">
        <f t="shared" si="3"/>
        <v>Medellín</v>
      </c>
      <c r="D620" s="19" t="s">
        <v>2351</v>
      </c>
      <c r="E620" s="19" t="s">
        <v>2357</v>
      </c>
      <c r="F620" s="19" t="s">
        <v>2346</v>
      </c>
      <c r="G620" s="20">
        <v>1096.28</v>
      </c>
      <c r="H620" s="5">
        <v>3.0</v>
      </c>
      <c r="I620" s="20">
        <v>3288.84</v>
      </c>
      <c r="J620" s="2" t="s">
        <v>1930</v>
      </c>
      <c r="K620" s="2" t="s">
        <v>1931</v>
      </c>
      <c r="L620" s="2" t="s">
        <v>1932</v>
      </c>
    </row>
    <row r="621" ht="15.75" customHeight="1">
      <c r="A621" s="13">
        <v>45644.0</v>
      </c>
      <c r="B621" s="3" t="s">
        <v>9</v>
      </c>
      <c r="C621" s="2" t="str">
        <f t="shared" si="3"/>
        <v>Monterrey</v>
      </c>
      <c r="D621" s="19" t="s">
        <v>2351</v>
      </c>
      <c r="E621" s="19" t="s">
        <v>2354</v>
      </c>
      <c r="F621" s="19" t="s">
        <v>2346</v>
      </c>
      <c r="G621" s="20">
        <v>2030.62</v>
      </c>
      <c r="H621" s="5">
        <v>2.0</v>
      </c>
      <c r="I621" s="20">
        <v>4061.24</v>
      </c>
      <c r="J621" s="2" t="s">
        <v>1933</v>
      </c>
      <c r="K621" s="2" t="s">
        <v>1934</v>
      </c>
      <c r="L621" s="2" t="s">
        <v>1935</v>
      </c>
    </row>
    <row r="622" ht="15.75" customHeight="1">
      <c r="A622" s="13">
        <v>45644.0</v>
      </c>
      <c r="B622" s="3" t="s">
        <v>9</v>
      </c>
      <c r="C622" s="2" t="str">
        <f t="shared" si="3"/>
        <v>Monterrey</v>
      </c>
      <c r="D622" s="19" t="s">
        <v>2347</v>
      </c>
      <c r="E622" s="19" t="s">
        <v>2348</v>
      </c>
      <c r="F622" s="19" t="s">
        <v>2346</v>
      </c>
      <c r="G622" s="20">
        <v>1405.61</v>
      </c>
      <c r="H622" s="5">
        <v>5.0</v>
      </c>
      <c r="I622" s="20">
        <v>7028.05</v>
      </c>
      <c r="J622" s="2" t="s">
        <v>1936</v>
      </c>
      <c r="K622" s="2" t="s">
        <v>1937</v>
      </c>
      <c r="L622" s="2" t="s">
        <v>1938</v>
      </c>
    </row>
    <row r="623" ht="15.75" customHeight="1">
      <c r="A623" s="13">
        <v>45644.0</v>
      </c>
      <c r="B623" s="2" t="s">
        <v>34</v>
      </c>
      <c r="C623" s="2" t="str">
        <f t="shared" si="3"/>
        <v>Medellín</v>
      </c>
      <c r="D623" s="19" t="s">
        <v>2343</v>
      </c>
      <c r="E623" s="19" t="s">
        <v>2353</v>
      </c>
      <c r="F623" s="19" t="s">
        <v>2346</v>
      </c>
      <c r="G623" s="20">
        <v>564.58</v>
      </c>
      <c r="H623" s="5">
        <v>4.0</v>
      </c>
      <c r="I623" s="20">
        <v>2258.32</v>
      </c>
      <c r="J623" s="2" t="s">
        <v>1939</v>
      </c>
      <c r="K623" s="2" t="s">
        <v>1940</v>
      </c>
      <c r="L623" s="2" t="s">
        <v>1941</v>
      </c>
    </row>
    <row r="624" ht="15.75" customHeight="1">
      <c r="A624" s="13">
        <v>45644.0</v>
      </c>
      <c r="B624" s="2" t="s">
        <v>57</v>
      </c>
      <c r="C624" s="2" t="str">
        <f t="shared" si="3"/>
        <v>Guadalajara</v>
      </c>
      <c r="D624" s="19" t="s">
        <v>2351</v>
      </c>
      <c r="E624" s="19" t="s">
        <v>2354</v>
      </c>
      <c r="F624" s="19" t="s">
        <v>2346</v>
      </c>
      <c r="G624" s="20">
        <v>2310.61</v>
      </c>
      <c r="H624" s="5">
        <v>3.0</v>
      </c>
      <c r="I624" s="20">
        <v>6931.83</v>
      </c>
      <c r="J624" s="2" t="s">
        <v>1942</v>
      </c>
      <c r="K624" s="2" t="s">
        <v>1943</v>
      </c>
      <c r="L624" s="2" t="s">
        <v>1944</v>
      </c>
    </row>
    <row r="625" ht="15.75" customHeight="1">
      <c r="A625" s="13">
        <v>45644.0</v>
      </c>
      <c r="B625" s="3" t="s">
        <v>9</v>
      </c>
      <c r="C625" s="2" t="str">
        <f t="shared" si="3"/>
        <v>Monterrey</v>
      </c>
      <c r="D625" s="19" t="s">
        <v>2343</v>
      </c>
      <c r="E625" s="19" t="s">
        <v>2344</v>
      </c>
      <c r="F625" s="19" t="s">
        <v>2350</v>
      </c>
      <c r="G625" s="20">
        <v>2425.55</v>
      </c>
      <c r="H625" s="5">
        <v>3.0</v>
      </c>
      <c r="I625" s="20">
        <v>7276.65</v>
      </c>
      <c r="J625" s="2" t="s">
        <v>1945</v>
      </c>
      <c r="K625" s="2" t="s">
        <v>1946</v>
      </c>
      <c r="L625" s="2" t="s">
        <v>1947</v>
      </c>
    </row>
    <row r="626" ht="15.75" customHeight="1">
      <c r="A626" s="13">
        <v>45644.0</v>
      </c>
      <c r="B626" s="2" t="s">
        <v>34</v>
      </c>
      <c r="C626" s="2" t="str">
        <f t="shared" si="3"/>
        <v>Medellín</v>
      </c>
      <c r="D626" s="19" t="s">
        <v>2347</v>
      </c>
      <c r="E626" s="19" t="s">
        <v>2356</v>
      </c>
      <c r="F626" s="19" t="s">
        <v>2345</v>
      </c>
      <c r="G626" s="20">
        <v>944.98</v>
      </c>
      <c r="H626" s="5">
        <v>1.0</v>
      </c>
      <c r="I626" s="20">
        <v>944.98</v>
      </c>
      <c r="J626" s="2" t="s">
        <v>1948</v>
      </c>
      <c r="K626" s="2" t="s">
        <v>1949</v>
      </c>
      <c r="L626" s="2" t="s">
        <v>1950</v>
      </c>
    </row>
    <row r="627" ht="15.75" customHeight="1">
      <c r="A627" s="13">
        <v>45644.0</v>
      </c>
      <c r="B627" s="3" t="s">
        <v>14</v>
      </c>
      <c r="C627" s="2" t="str">
        <f t="shared" si="3"/>
        <v>Bogotá</v>
      </c>
      <c r="D627" s="19" t="s">
        <v>2340</v>
      </c>
      <c r="E627" s="19" t="s">
        <v>2349</v>
      </c>
      <c r="F627" s="19" t="s">
        <v>2345</v>
      </c>
      <c r="G627" s="20">
        <v>1876.74</v>
      </c>
      <c r="H627" s="5">
        <v>3.0</v>
      </c>
      <c r="I627" s="20">
        <v>5630.22</v>
      </c>
      <c r="J627" s="2" t="s">
        <v>1951</v>
      </c>
      <c r="K627" s="2" t="s">
        <v>1952</v>
      </c>
      <c r="L627" s="2" t="s">
        <v>1953</v>
      </c>
    </row>
    <row r="628" ht="15.75" customHeight="1">
      <c r="A628" s="13">
        <v>45644.0</v>
      </c>
      <c r="B628" s="3" t="s">
        <v>9</v>
      </c>
      <c r="C628" s="2" t="str">
        <f t="shared" si="3"/>
        <v>Monterrey</v>
      </c>
      <c r="D628" s="19" t="s">
        <v>2351</v>
      </c>
      <c r="E628" s="19" t="s">
        <v>2354</v>
      </c>
      <c r="F628" s="19" t="s">
        <v>2346</v>
      </c>
      <c r="G628" s="20">
        <v>2031.79</v>
      </c>
      <c r="H628" s="5">
        <v>5.0</v>
      </c>
      <c r="I628" s="20">
        <v>10158.95</v>
      </c>
      <c r="J628" s="2" t="s">
        <v>1954</v>
      </c>
      <c r="K628" s="2" t="s">
        <v>1955</v>
      </c>
      <c r="L628" s="2" t="s">
        <v>1956</v>
      </c>
    </row>
    <row r="629" ht="15.75" customHeight="1">
      <c r="A629" s="13">
        <v>45644.0</v>
      </c>
      <c r="B629" s="2" t="s">
        <v>57</v>
      </c>
      <c r="C629" s="2" t="str">
        <f t="shared" si="3"/>
        <v>Guadalajara</v>
      </c>
      <c r="D629" s="19" t="s">
        <v>2343</v>
      </c>
      <c r="E629" s="19" t="s">
        <v>2359</v>
      </c>
      <c r="F629" s="19" t="s">
        <v>2346</v>
      </c>
      <c r="G629" s="20">
        <v>1031.51</v>
      </c>
      <c r="H629" s="5">
        <v>1.0</v>
      </c>
      <c r="I629" s="20">
        <v>1031.51</v>
      </c>
      <c r="J629" s="2" t="s">
        <v>1957</v>
      </c>
      <c r="K629" s="2" t="s">
        <v>1958</v>
      </c>
      <c r="L629" s="2" t="s">
        <v>1959</v>
      </c>
    </row>
    <row r="630" ht="15.75" customHeight="1">
      <c r="A630" s="13">
        <v>45644.0</v>
      </c>
      <c r="B630" s="3" t="s">
        <v>74</v>
      </c>
      <c r="C630" s="2" t="str">
        <f t="shared" si="3"/>
        <v>Cali</v>
      </c>
      <c r="D630" s="19" t="s">
        <v>2347</v>
      </c>
      <c r="E630" s="19" t="s">
        <v>2356</v>
      </c>
      <c r="F630" s="19" t="s">
        <v>2350</v>
      </c>
      <c r="G630" s="20">
        <v>879.04</v>
      </c>
      <c r="H630" s="5">
        <v>2.0</v>
      </c>
      <c r="I630" s="20">
        <v>1758.08</v>
      </c>
      <c r="J630" s="2" t="s">
        <v>1960</v>
      </c>
      <c r="K630" s="2" t="s">
        <v>1961</v>
      </c>
      <c r="L630" s="2" t="s">
        <v>1962</v>
      </c>
    </row>
    <row r="631" ht="15.75" customHeight="1">
      <c r="A631" s="13">
        <v>45644.0</v>
      </c>
      <c r="B631" s="2" t="s">
        <v>34</v>
      </c>
      <c r="C631" s="2" t="str">
        <f t="shared" si="3"/>
        <v>Medellín</v>
      </c>
      <c r="D631" s="19" t="s">
        <v>2343</v>
      </c>
      <c r="E631" s="19" t="s">
        <v>2344</v>
      </c>
      <c r="F631" s="19" t="s">
        <v>2345</v>
      </c>
      <c r="G631" s="20">
        <v>292.99</v>
      </c>
      <c r="H631" s="5">
        <v>1.0</v>
      </c>
      <c r="I631" s="20">
        <v>292.99</v>
      </c>
      <c r="J631" s="2" t="s">
        <v>1963</v>
      </c>
      <c r="K631" s="2" t="s">
        <v>1964</v>
      </c>
      <c r="L631" s="2" t="s">
        <v>1965</v>
      </c>
    </row>
    <row r="632" ht="15.75" customHeight="1">
      <c r="A632" s="13">
        <v>45645.0</v>
      </c>
      <c r="B632" s="3" t="s">
        <v>14</v>
      </c>
      <c r="C632" s="2" t="str">
        <f t="shared" si="3"/>
        <v>Bogotá</v>
      </c>
      <c r="D632" s="19" t="s">
        <v>2351</v>
      </c>
      <c r="E632" s="19" t="s">
        <v>2354</v>
      </c>
      <c r="F632" s="19" t="s">
        <v>2346</v>
      </c>
      <c r="G632" s="20">
        <v>1575.85</v>
      </c>
      <c r="H632" s="5">
        <v>2.0</v>
      </c>
      <c r="I632" s="20">
        <v>3151.7</v>
      </c>
      <c r="J632" s="2" t="s">
        <v>1966</v>
      </c>
      <c r="K632" s="2" t="s">
        <v>1967</v>
      </c>
      <c r="L632" s="2" t="s">
        <v>1968</v>
      </c>
    </row>
    <row r="633" ht="15.75" customHeight="1">
      <c r="A633" s="13">
        <v>45645.0</v>
      </c>
      <c r="B633" s="2" t="s">
        <v>34</v>
      </c>
      <c r="C633" s="2" t="str">
        <f t="shared" si="3"/>
        <v>Medellín</v>
      </c>
      <c r="D633" s="19" t="s">
        <v>2340</v>
      </c>
      <c r="E633" s="19" t="s">
        <v>2349</v>
      </c>
      <c r="F633" s="19" t="s">
        <v>2342</v>
      </c>
      <c r="G633" s="20">
        <v>720.31</v>
      </c>
      <c r="H633" s="5">
        <v>3.0</v>
      </c>
      <c r="I633" s="20">
        <v>2160.93</v>
      </c>
      <c r="J633" s="2" t="s">
        <v>1969</v>
      </c>
      <c r="K633" s="2" t="s">
        <v>1970</v>
      </c>
      <c r="L633" s="2" t="s">
        <v>1971</v>
      </c>
    </row>
    <row r="634" ht="15.75" customHeight="1">
      <c r="A634" s="13">
        <v>45645.0</v>
      </c>
      <c r="B634" s="2" t="s">
        <v>34</v>
      </c>
      <c r="C634" s="2" t="str">
        <f t="shared" si="3"/>
        <v>Medellín</v>
      </c>
      <c r="D634" s="19" t="s">
        <v>2343</v>
      </c>
      <c r="E634" s="19" t="s">
        <v>2353</v>
      </c>
      <c r="F634" s="19" t="s">
        <v>2346</v>
      </c>
      <c r="G634" s="20">
        <v>2309.76</v>
      </c>
      <c r="H634" s="5">
        <v>5.0</v>
      </c>
      <c r="I634" s="20">
        <v>11548.8</v>
      </c>
      <c r="J634" s="2" t="s">
        <v>1972</v>
      </c>
      <c r="K634" s="2" t="s">
        <v>1973</v>
      </c>
      <c r="L634" s="2" t="s">
        <v>1974</v>
      </c>
    </row>
    <row r="635" ht="15.75" customHeight="1">
      <c r="A635" s="13">
        <v>45645.0</v>
      </c>
      <c r="B635" s="2" t="s">
        <v>34</v>
      </c>
      <c r="C635" s="2" t="str">
        <f t="shared" si="3"/>
        <v>Medellín</v>
      </c>
      <c r="D635" s="19" t="s">
        <v>2343</v>
      </c>
      <c r="E635" s="19" t="s">
        <v>2344</v>
      </c>
      <c r="F635" s="19" t="s">
        <v>2350</v>
      </c>
      <c r="G635" s="20">
        <v>633.29</v>
      </c>
      <c r="H635" s="5">
        <v>1.0</v>
      </c>
      <c r="I635" s="20">
        <v>633.29</v>
      </c>
      <c r="J635" s="2" t="s">
        <v>1975</v>
      </c>
      <c r="K635" s="2" t="s">
        <v>1976</v>
      </c>
      <c r="L635" s="2" t="s">
        <v>1977</v>
      </c>
    </row>
    <row r="636" ht="15.75" customHeight="1">
      <c r="A636" s="13">
        <v>45645.0</v>
      </c>
      <c r="B636" s="2" t="s">
        <v>34</v>
      </c>
      <c r="C636" s="2" t="str">
        <f t="shared" si="3"/>
        <v>Medellín</v>
      </c>
      <c r="D636" s="19" t="s">
        <v>2343</v>
      </c>
      <c r="E636" s="19" t="s">
        <v>2353</v>
      </c>
      <c r="F636" s="19" t="s">
        <v>2346</v>
      </c>
      <c r="G636" s="20">
        <v>530.94</v>
      </c>
      <c r="H636" s="5">
        <v>5.0</v>
      </c>
      <c r="I636" s="20">
        <v>2654.7</v>
      </c>
      <c r="J636" s="2" t="s">
        <v>1978</v>
      </c>
      <c r="K636" s="2" t="s">
        <v>1979</v>
      </c>
      <c r="L636" s="2" t="s">
        <v>1980</v>
      </c>
    </row>
    <row r="637" ht="15.75" customHeight="1">
      <c r="A637" s="13">
        <v>45645.0</v>
      </c>
      <c r="B637" s="2" t="s">
        <v>34</v>
      </c>
      <c r="C637" s="2" t="str">
        <f t="shared" si="3"/>
        <v>Medellín</v>
      </c>
      <c r="D637" s="19" t="s">
        <v>2340</v>
      </c>
      <c r="E637" s="19" t="s">
        <v>2341</v>
      </c>
      <c r="F637" s="19" t="s">
        <v>2342</v>
      </c>
      <c r="G637" s="20">
        <v>127.35</v>
      </c>
      <c r="H637" s="5">
        <v>1.0</v>
      </c>
      <c r="I637" s="20">
        <v>127.35</v>
      </c>
      <c r="J637" s="2" t="s">
        <v>1981</v>
      </c>
      <c r="K637" s="2" t="s">
        <v>1982</v>
      </c>
      <c r="L637" s="2" t="s">
        <v>1983</v>
      </c>
    </row>
    <row r="638" ht="15.75" customHeight="1">
      <c r="A638" s="13">
        <v>45645.0</v>
      </c>
      <c r="B638" s="3" t="s">
        <v>9</v>
      </c>
      <c r="C638" s="2" t="str">
        <f t="shared" si="3"/>
        <v>Monterrey</v>
      </c>
      <c r="D638" s="19" t="s">
        <v>2347</v>
      </c>
      <c r="E638" s="19" t="s">
        <v>2356</v>
      </c>
      <c r="F638" s="19" t="s">
        <v>2346</v>
      </c>
      <c r="G638" s="20">
        <v>1008.28</v>
      </c>
      <c r="H638" s="5">
        <v>5.0</v>
      </c>
      <c r="I638" s="20">
        <v>5041.4</v>
      </c>
      <c r="J638" s="2" t="s">
        <v>1984</v>
      </c>
      <c r="K638" s="2" t="s">
        <v>1985</v>
      </c>
      <c r="L638" s="2" t="s">
        <v>1986</v>
      </c>
    </row>
    <row r="639" ht="15.75" customHeight="1">
      <c r="A639" s="13">
        <v>45645.0</v>
      </c>
      <c r="B639" s="3" t="s">
        <v>14</v>
      </c>
      <c r="C639" s="2" t="str">
        <f t="shared" si="3"/>
        <v>Bogotá</v>
      </c>
      <c r="D639" s="19" t="s">
        <v>2347</v>
      </c>
      <c r="E639" s="19" t="s">
        <v>2358</v>
      </c>
      <c r="F639" s="19" t="s">
        <v>2346</v>
      </c>
      <c r="G639" s="20">
        <v>1900.01</v>
      </c>
      <c r="H639" s="5">
        <v>5.0</v>
      </c>
      <c r="I639" s="20">
        <v>9500.05</v>
      </c>
      <c r="J639" s="2" t="s">
        <v>1987</v>
      </c>
      <c r="K639" s="2" t="s">
        <v>1988</v>
      </c>
      <c r="L639" s="2" t="s">
        <v>1989</v>
      </c>
    </row>
    <row r="640" ht="15.75" customHeight="1">
      <c r="A640" s="13">
        <v>45645.0</v>
      </c>
      <c r="B640" s="3" t="s">
        <v>74</v>
      </c>
      <c r="C640" s="2" t="str">
        <f t="shared" si="3"/>
        <v>Cali</v>
      </c>
      <c r="D640" s="19" t="s">
        <v>2340</v>
      </c>
      <c r="E640" s="19" t="s">
        <v>2355</v>
      </c>
      <c r="F640" s="19" t="s">
        <v>2350</v>
      </c>
      <c r="G640" s="20">
        <v>1254.96</v>
      </c>
      <c r="H640" s="5">
        <v>1.0</v>
      </c>
      <c r="I640" s="20">
        <v>1254.96</v>
      </c>
      <c r="J640" s="2" t="s">
        <v>1990</v>
      </c>
      <c r="K640" s="2" t="s">
        <v>1991</v>
      </c>
      <c r="L640" s="2" t="s">
        <v>1992</v>
      </c>
    </row>
    <row r="641" ht="15.75" customHeight="1">
      <c r="A641" s="13">
        <v>45645.0</v>
      </c>
      <c r="B641" s="3" t="s">
        <v>9</v>
      </c>
      <c r="C641" s="2" t="str">
        <f t="shared" si="3"/>
        <v>Monterrey</v>
      </c>
      <c r="D641" s="19" t="s">
        <v>2347</v>
      </c>
      <c r="E641" s="19" t="s">
        <v>2358</v>
      </c>
      <c r="F641" s="19" t="s">
        <v>2346</v>
      </c>
      <c r="G641" s="20">
        <v>432.18</v>
      </c>
      <c r="H641" s="5">
        <v>1.0</v>
      </c>
      <c r="I641" s="20">
        <v>432.18</v>
      </c>
      <c r="J641" s="2" t="s">
        <v>1993</v>
      </c>
      <c r="K641" s="2" t="s">
        <v>1994</v>
      </c>
      <c r="L641" s="2" t="s">
        <v>1995</v>
      </c>
    </row>
    <row r="642" ht="15.75" customHeight="1">
      <c r="A642" s="13">
        <v>45646.0</v>
      </c>
      <c r="B642" s="3" t="s">
        <v>74</v>
      </c>
      <c r="C642" s="2" t="str">
        <f t="shared" si="3"/>
        <v>Cali</v>
      </c>
      <c r="D642" s="19" t="s">
        <v>2347</v>
      </c>
      <c r="E642" s="19" t="s">
        <v>2356</v>
      </c>
      <c r="F642" s="19" t="s">
        <v>2350</v>
      </c>
      <c r="G642" s="20">
        <v>2373.12</v>
      </c>
      <c r="H642" s="5">
        <v>2.0</v>
      </c>
      <c r="I642" s="20">
        <v>4746.24</v>
      </c>
      <c r="J642" s="2" t="s">
        <v>1996</v>
      </c>
      <c r="K642" s="2" t="s">
        <v>1997</v>
      </c>
      <c r="L642" s="2" t="s">
        <v>1998</v>
      </c>
    </row>
    <row r="643" ht="15.75" customHeight="1">
      <c r="A643" s="13">
        <v>45646.0</v>
      </c>
      <c r="B643" s="2" t="s">
        <v>34</v>
      </c>
      <c r="C643" s="2" t="str">
        <f t="shared" si="3"/>
        <v>Medellín</v>
      </c>
      <c r="D643" s="19" t="s">
        <v>2347</v>
      </c>
      <c r="E643" s="19" t="s">
        <v>2356</v>
      </c>
      <c r="F643" s="19" t="s">
        <v>2345</v>
      </c>
      <c r="G643" s="20">
        <v>290.07</v>
      </c>
      <c r="H643" s="5">
        <v>4.0</v>
      </c>
      <c r="I643" s="20">
        <v>1160.28</v>
      </c>
      <c r="J643" s="2" t="s">
        <v>1999</v>
      </c>
      <c r="K643" s="2" t="s">
        <v>2000</v>
      </c>
      <c r="L643" s="2" t="s">
        <v>2001</v>
      </c>
    </row>
    <row r="644" ht="15.75" customHeight="1">
      <c r="A644" s="13">
        <v>45646.0</v>
      </c>
      <c r="B644" s="3" t="s">
        <v>9</v>
      </c>
      <c r="C644" s="2" t="str">
        <f t="shared" si="3"/>
        <v>Monterrey</v>
      </c>
      <c r="D644" s="19" t="s">
        <v>2351</v>
      </c>
      <c r="E644" s="19" t="s">
        <v>2354</v>
      </c>
      <c r="F644" s="19" t="s">
        <v>2346</v>
      </c>
      <c r="G644" s="20">
        <v>841.77</v>
      </c>
      <c r="H644" s="5">
        <v>1.0</v>
      </c>
      <c r="I644" s="20">
        <v>841.77</v>
      </c>
      <c r="J644" s="2" t="s">
        <v>2002</v>
      </c>
      <c r="K644" s="2" t="s">
        <v>2003</v>
      </c>
      <c r="L644" s="2" t="s">
        <v>2004</v>
      </c>
    </row>
    <row r="645" ht="15.75" customHeight="1">
      <c r="A645" s="13">
        <v>45646.0</v>
      </c>
      <c r="B645" s="3" t="s">
        <v>9</v>
      </c>
      <c r="C645" s="2" t="str">
        <f t="shared" si="3"/>
        <v>Monterrey</v>
      </c>
      <c r="D645" s="19" t="s">
        <v>2347</v>
      </c>
      <c r="E645" s="19" t="s">
        <v>2348</v>
      </c>
      <c r="F645" s="19" t="s">
        <v>2342</v>
      </c>
      <c r="G645" s="20">
        <v>1501.95</v>
      </c>
      <c r="H645" s="5">
        <v>2.0</v>
      </c>
      <c r="I645" s="20">
        <v>3003.9</v>
      </c>
      <c r="J645" s="2" t="s">
        <v>2005</v>
      </c>
      <c r="K645" s="2" t="s">
        <v>2006</v>
      </c>
      <c r="L645" s="2" t="s">
        <v>2007</v>
      </c>
    </row>
    <row r="646" ht="15.75" customHeight="1">
      <c r="A646" s="13">
        <v>45646.0</v>
      </c>
      <c r="B646" s="2" t="s">
        <v>34</v>
      </c>
      <c r="C646" s="2" t="str">
        <f t="shared" si="3"/>
        <v>Medellín</v>
      </c>
      <c r="D646" s="19" t="s">
        <v>2343</v>
      </c>
      <c r="E646" s="19" t="s">
        <v>2360</v>
      </c>
      <c r="F646" s="19" t="s">
        <v>2345</v>
      </c>
      <c r="G646" s="20">
        <v>769.01</v>
      </c>
      <c r="H646" s="5">
        <v>5.0</v>
      </c>
      <c r="I646" s="20">
        <v>3845.05</v>
      </c>
      <c r="J646" s="2" t="s">
        <v>2008</v>
      </c>
      <c r="K646" s="2" t="s">
        <v>2009</v>
      </c>
      <c r="L646" s="2" t="s">
        <v>2010</v>
      </c>
    </row>
    <row r="647" ht="15.75" customHeight="1">
      <c r="A647" s="13">
        <v>45646.0</v>
      </c>
      <c r="B647" s="3" t="s">
        <v>29</v>
      </c>
      <c r="C647" s="2" t="str">
        <f t="shared" si="3"/>
        <v>Ciudad De Mexico</v>
      </c>
      <c r="D647" s="19" t="s">
        <v>2351</v>
      </c>
      <c r="E647" s="19" t="s">
        <v>2352</v>
      </c>
      <c r="F647" s="19" t="s">
        <v>2345</v>
      </c>
      <c r="G647" s="20">
        <v>1507.69</v>
      </c>
      <c r="H647" s="5">
        <v>5.0</v>
      </c>
      <c r="I647" s="20">
        <v>7538.45</v>
      </c>
      <c r="J647" s="2" t="s">
        <v>2011</v>
      </c>
      <c r="K647" s="2" t="s">
        <v>2012</v>
      </c>
      <c r="L647" s="2" t="s">
        <v>2013</v>
      </c>
    </row>
    <row r="648" ht="15.75" customHeight="1">
      <c r="A648" s="13">
        <v>45646.0</v>
      </c>
      <c r="B648" s="3" t="s">
        <v>9</v>
      </c>
      <c r="C648" s="2" t="str">
        <f t="shared" si="3"/>
        <v>Monterrey</v>
      </c>
      <c r="D648" s="19" t="s">
        <v>2340</v>
      </c>
      <c r="E648" s="19" t="s">
        <v>2355</v>
      </c>
      <c r="F648" s="19" t="s">
        <v>2350</v>
      </c>
      <c r="G648" s="20">
        <v>2086.91</v>
      </c>
      <c r="H648" s="5">
        <v>5.0</v>
      </c>
      <c r="I648" s="20">
        <v>10434.55</v>
      </c>
      <c r="J648" s="2" t="s">
        <v>2014</v>
      </c>
      <c r="K648" s="2" t="s">
        <v>2015</v>
      </c>
      <c r="L648" s="2" t="s">
        <v>2016</v>
      </c>
    </row>
    <row r="649" ht="15.75" customHeight="1">
      <c r="A649" s="13">
        <v>45646.0</v>
      </c>
      <c r="B649" s="3" t="s">
        <v>29</v>
      </c>
      <c r="C649" s="2" t="str">
        <f t="shared" si="3"/>
        <v>Ciudad De Mexico</v>
      </c>
      <c r="D649" s="19" t="s">
        <v>2351</v>
      </c>
      <c r="E649" s="19" t="s">
        <v>2357</v>
      </c>
      <c r="F649" s="19" t="s">
        <v>2350</v>
      </c>
      <c r="G649" s="20">
        <v>1092.96</v>
      </c>
      <c r="H649" s="5">
        <v>4.0</v>
      </c>
      <c r="I649" s="20">
        <v>4371.84</v>
      </c>
      <c r="J649" s="2" t="s">
        <v>2017</v>
      </c>
      <c r="K649" s="2" t="s">
        <v>2018</v>
      </c>
      <c r="L649" s="2" t="s">
        <v>2019</v>
      </c>
    </row>
    <row r="650" ht="15.75" customHeight="1">
      <c r="A650" s="13">
        <v>45646.0</v>
      </c>
      <c r="B650" s="2" t="s">
        <v>57</v>
      </c>
      <c r="C650" s="2" t="str">
        <f t="shared" si="3"/>
        <v>Guadalajara</v>
      </c>
      <c r="D650" s="19" t="s">
        <v>2343</v>
      </c>
      <c r="E650" s="19" t="s">
        <v>2344</v>
      </c>
      <c r="F650" s="19" t="s">
        <v>2346</v>
      </c>
      <c r="G650" s="20">
        <v>2114.97</v>
      </c>
      <c r="H650" s="5">
        <v>1.0</v>
      </c>
      <c r="I650" s="20">
        <v>2114.97</v>
      </c>
      <c r="J650" s="2" t="s">
        <v>2020</v>
      </c>
      <c r="K650" s="2" t="s">
        <v>2021</v>
      </c>
      <c r="L650" s="2" t="s">
        <v>2022</v>
      </c>
    </row>
    <row r="651" ht="15.75" customHeight="1">
      <c r="A651" s="13">
        <v>45646.0</v>
      </c>
      <c r="B651" s="3" t="s">
        <v>14</v>
      </c>
      <c r="C651" s="2" t="str">
        <f t="shared" si="3"/>
        <v>Bogotá</v>
      </c>
      <c r="D651" s="19" t="s">
        <v>2347</v>
      </c>
      <c r="E651" s="19" t="s">
        <v>2356</v>
      </c>
      <c r="F651" s="19" t="s">
        <v>2346</v>
      </c>
      <c r="G651" s="20">
        <v>2077.18</v>
      </c>
      <c r="H651" s="5">
        <v>4.0</v>
      </c>
      <c r="I651" s="20">
        <v>8308.72</v>
      </c>
      <c r="J651" s="2" t="s">
        <v>2023</v>
      </c>
      <c r="K651" s="2" t="s">
        <v>2024</v>
      </c>
      <c r="L651" s="2" t="s">
        <v>2025</v>
      </c>
    </row>
    <row r="652" ht="15.75" customHeight="1">
      <c r="A652" s="13">
        <v>45647.0</v>
      </c>
      <c r="B652" s="2" t="s">
        <v>34</v>
      </c>
      <c r="C652" s="2" t="str">
        <f t="shared" si="3"/>
        <v>Medellín</v>
      </c>
      <c r="D652" s="19" t="s">
        <v>2343</v>
      </c>
      <c r="E652" s="19" t="s">
        <v>2360</v>
      </c>
      <c r="F652" s="19" t="s">
        <v>2345</v>
      </c>
      <c r="G652" s="20">
        <v>1547.71</v>
      </c>
      <c r="H652" s="5">
        <v>5.0</v>
      </c>
      <c r="I652" s="20">
        <v>7738.55</v>
      </c>
      <c r="J652" s="2" t="s">
        <v>2026</v>
      </c>
      <c r="K652" s="2" t="s">
        <v>2027</v>
      </c>
      <c r="L652" s="2" t="s">
        <v>2028</v>
      </c>
    </row>
    <row r="653" ht="15.75" customHeight="1">
      <c r="A653" s="13">
        <v>45647.0</v>
      </c>
      <c r="B653" s="3" t="s">
        <v>9</v>
      </c>
      <c r="C653" s="2" t="str">
        <f t="shared" si="3"/>
        <v>Monterrey</v>
      </c>
      <c r="D653" s="19" t="s">
        <v>2351</v>
      </c>
      <c r="E653" s="19" t="s">
        <v>2352</v>
      </c>
      <c r="F653" s="19" t="s">
        <v>2345</v>
      </c>
      <c r="G653" s="20">
        <v>1944.73</v>
      </c>
      <c r="H653" s="5">
        <v>4.0</v>
      </c>
      <c r="I653" s="20">
        <v>7778.92</v>
      </c>
      <c r="J653" s="2" t="s">
        <v>2029</v>
      </c>
      <c r="K653" s="2" t="s">
        <v>2030</v>
      </c>
      <c r="L653" s="2" t="s">
        <v>2031</v>
      </c>
    </row>
    <row r="654" ht="15.75" customHeight="1">
      <c r="A654" s="13">
        <v>45647.0</v>
      </c>
      <c r="B654" s="3" t="s">
        <v>74</v>
      </c>
      <c r="C654" s="2" t="str">
        <f t="shared" si="3"/>
        <v>Cali</v>
      </c>
      <c r="D654" s="19" t="s">
        <v>2347</v>
      </c>
      <c r="E654" s="19" t="s">
        <v>2348</v>
      </c>
      <c r="F654" s="19" t="s">
        <v>2342</v>
      </c>
      <c r="G654" s="20">
        <v>1459.53</v>
      </c>
      <c r="H654" s="5">
        <v>1.0</v>
      </c>
      <c r="I654" s="20">
        <v>1459.53</v>
      </c>
      <c r="J654" s="2" t="s">
        <v>2032</v>
      </c>
      <c r="K654" s="2" t="s">
        <v>2033</v>
      </c>
      <c r="L654" s="2" t="s">
        <v>2034</v>
      </c>
    </row>
    <row r="655" ht="15.75" customHeight="1">
      <c r="A655" s="13">
        <v>45647.0</v>
      </c>
      <c r="B655" s="3" t="s">
        <v>9</v>
      </c>
      <c r="C655" s="2" t="str">
        <f t="shared" si="3"/>
        <v>Monterrey</v>
      </c>
      <c r="D655" s="19" t="s">
        <v>2343</v>
      </c>
      <c r="E655" s="19" t="s">
        <v>2360</v>
      </c>
      <c r="F655" s="19" t="s">
        <v>2350</v>
      </c>
      <c r="G655" s="20">
        <v>1019.73</v>
      </c>
      <c r="H655" s="5">
        <v>2.0</v>
      </c>
      <c r="I655" s="20">
        <v>2039.46</v>
      </c>
      <c r="J655" s="2" t="s">
        <v>2035</v>
      </c>
      <c r="K655" s="2" t="s">
        <v>2036</v>
      </c>
      <c r="L655" s="2" t="s">
        <v>2037</v>
      </c>
    </row>
    <row r="656" ht="15.75" customHeight="1">
      <c r="A656" s="13">
        <v>45647.0</v>
      </c>
      <c r="B656" s="3" t="s">
        <v>29</v>
      </c>
      <c r="C656" s="2" t="str">
        <f t="shared" si="3"/>
        <v>Ciudad De Mexico</v>
      </c>
      <c r="D656" s="19" t="s">
        <v>2347</v>
      </c>
      <c r="E656" s="19" t="s">
        <v>2358</v>
      </c>
      <c r="F656" s="19" t="s">
        <v>2345</v>
      </c>
      <c r="G656" s="20">
        <v>1670.11</v>
      </c>
      <c r="H656" s="5">
        <v>3.0</v>
      </c>
      <c r="I656" s="20">
        <v>5010.33</v>
      </c>
      <c r="J656" s="2" t="s">
        <v>2038</v>
      </c>
      <c r="K656" s="2" t="s">
        <v>2039</v>
      </c>
      <c r="L656" s="2" t="s">
        <v>2040</v>
      </c>
    </row>
    <row r="657" ht="15.75" customHeight="1">
      <c r="A657" s="13">
        <v>45647.0</v>
      </c>
      <c r="B657" s="3" t="s">
        <v>74</v>
      </c>
      <c r="C657" s="2" t="str">
        <f t="shared" si="3"/>
        <v>Cali</v>
      </c>
      <c r="D657" s="19" t="s">
        <v>2351</v>
      </c>
      <c r="E657" s="19" t="s">
        <v>2354</v>
      </c>
      <c r="F657" s="19" t="s">
        <v>2350</v>
      </c>
      <c r="G657" s="20">
        <v>2008.78</v>
      </c>
      <c r="H657" s="5">
        <v>5.0</v>
      </c>
      <c r="I657" s="20">
        <v>10043.9</v>
      </c>
      <c r="J657" s="2" t="s">
        <v>2041</v>
      </c>
      <c r="K657" s="2" t="s">
        <v>2042</v>
      </c>
      <c r="L657" s="2" t="s">
        <v>2043</v>
      </c>
    </row>
    <row r="658" ht="15.75" customHeight="1">
      <c r="A658" s="13">
        <v>45647.0</v>
      </c>
      <c r="B658" s="3" t="s">
        <v>29</v>
      </c>
      <c r="C658" s="2" t="str">
        <f t="shared" si="3"/>
        <v>Ciudad De Mexico</v>
      </c>
      <c r="D658" s="19" t="s">
        <v>2340</v>
      </c>
      <c r="E658" s="19" t="s">
        <v>2349</v>
      </c>
      <c r="F658" s="19" t="s">
        <v>2342</v>
      </c>
      <c r="G658" s="20">
        <v>2461.26</v>
      </c>
      <c r="H658" s="5">
        <v>3.0</v>
      </c>
      <c r="I658" s="20">
        <v>7383.78</v>
      </c>
      <c r="J658" s="2" t="s">
        <v>2044</v>
      </c>
      <c r="K658" s="2" t="s">
        <v>2045</v>
      </c>
      <c r="L658" s="2" t="s">
        <v>2046</v>
      </c>
    </row>
    <row r="659" ht="15.75" customHeight="1">
      <c r="A659" s="13">
        <v>45647.0</v>
      </c>
      <c r="B659" s="2" t="s">
        <v>57</v>
      </c>
      <c r="C659" s="2" t="str">
        <f t="shared" si="3"/>
        <v>Guadalajara</v>
      </c>
      <c r="D659" s="19" t="s">
        <v>2351</v>
      </c>
      <c r="E659" s="19" t="s">
        <v>2357</v>
      </c>
      <c r="F659" s="19" t="s">
        <v>2350</v>
      </c>
      <c r="G659" s="20">
        <v>2224.42</v>
      </c>
      <c r="H659" s="5">
        <v>4.0</v>
      </c>
      <c r="I659" s="20">
        <v>8897.68</v>
      </c>
      <c r="J659" s="2" t="s">
        <v>2047</v>
      </c>
      <c r="K659" s="2" t="s">
        <v>2048</v>
      </c>
      <c r="L659" s="2" t="s">
        <v>2049</v>
      </c>
    </row>
    <row r="660" ht="15.75" customHeight="1">
      <c r="A660" s="13">
        <v>45647.0</v>
      </c>
      <c r="B660" s="3" t="s">
        <v>74</v>
      </c>
      <c r="C660" s="2" t="str">
        <f t="shared" si="3"/>
        <v>Cali</v>
      </c>
      <c r="D660" s="22" t="s">
        <v>2347</v>
      </c>
      <c r="E660" s="19" t="s">
        <v>2356</v>
      </c>
      <c r="F660" s="19" t="s">
        <v>2342</v>
      </c>
      <c r="G660" s="20">
        <v>1979.07</v>
      </c>
      <c r="H660" s="5">
        <v>1.0</v>
      </c>
      <c r="I660" s="20">
        <v>1979.07</v>
      </c>
      <c r="J660" s="2" t="s">
        <v>2050</v>
      </c>
      <c r="K660" s="2" t="s">
        <v>2051</v>
      </c>
      <c r="L660" s="2" t="s">
        <v>2052</v>
      </c>
    </row>
    <row r="661" ht="15.75" customHeight="1">
      <c r="A661" s="13">
        <v>45647.0</v>
      </c>
      <c r="B661" s="2" t="s">
        <v>57</v>
      </c>
      <c r="C661" s="2" t="str">
        <f t="shared" si="3"/>
        <v>Guadalajara</v>
      </c>
      <c r="D661" s="19" t="s">
        <v>2351</v>
      </c>
      <c r="E661" s="19" t="s">
        <v>2357</v>
      </c>
      <c r="F661" s="19" t="s">
        <v>2345</v>
      </c>
      <c r="G661" s="20">
        <v>1397.8</v>
      </c>
      <c r="H661" s="5">
        <v>2.0</v>
      </c>
      <c r="I661" s="20">
        <v>2795.6</v>
      </c>
      <c r="J661" s="2" t="s">
        <v>2053</v>
      </c>
      <c r="K661" s="2" t="s">
        <v>2054</v>
      </c>
      <c r="L661" s="2" t="s">
        <v>2055</v>
      </c>
    </row>
    <row r="662" ht="15.75" customHeight="1">
      <c r="A662" s="13">
        <v>45648.0</v>
      </c>
      <c r="B662" s="2" t="s">
        <v>57</v>
      </c>
      <c r="C662" s="2" t="str">
        <f t="shared" si="3"/>
        <v>Guadalajara</v>
      </c>
      <c r="D662" s="19" t="s">
        <v>2340</v>
      </c>
      <c r="E662" s="19" t="s">
        <v>2355</v>
      </c>
      <c r="F662" s="19" t="s">
        <v>2342</v>
      </c>
      <c r="G662" s="20">
        <v>1636.65</v>
      </c>
      <c r="H662" s="5">
        <v>2.0</v>
      </c>
      <c r="I662" s="20">
        <v>3273.3</v>
      </c>
      <c r="J662" s="2" t="s">
        <v>2056</v>
      </c>
      <c r="K662" s="2" t="s">
        <v>2057</v>
      </c>
      <c r="L662" s="2" t="s">
        <v>2058</v>
      </c>
    </row>
    <row r="663" ht="15.75" customHeight="1">
      <c r="A663" s="13">
        <v>45648.0</v>
      </c>
      <c r="B663" s="3" t="s">
        <v>74</v>
      </c>
      <c r="C663" s="2" t="str">
        <f t="shared" si="3"/>
        <v>Cali</v>
      </c>
      <c r="D663" s="19" t="s">
        <v>2340</v>
      </c>
      <c r="E663" s="19" t="s">
        <v>2341</v>
      </c>
      <c r="F663" s="19" t="s">
        <v>2346</v>
      </c>
      <c r="G663" s="20">
        <v>2186.25</v>
      </c>
      <c r="H663" s="5">
        <v>5.0</v>
      </c>
      <c r="I663" s="20">
        <v>10931.25</v>
      </c>
      <c r="J663" s="2" t="s">
        <v>2059</v>
      </c>
      <c r="K663" s="2" t="s">
        <v>2060</v>
      </c>
      <c r="L663" s="2" t="s">
        <v>2061</v>
      </c>
    </row>
    <row r="664" ht="15.75" customHeight="1">
      <c r="A664" s="13">
        <v>45648.0</v>
      </c>
      <c r="B664" s="3" t="s">
        <v>9</v>
      </c>
      <c r="C664" s="2" t="str">
        <f t="shared" si="3"/>
        <v>Monterrey</v>
      </c>
      <c r="D664" s="19" t="s">
        <v>2347</v>
      </c>
      <c r="E664" s="19" t="s">
        <v>2356</v>
      </c>
      <c r="F664" s="19" t="s">
        <v>2345</v>
      </c>
      <c r="G664" s="20">
        <v>1567.55</v>
      </c>
      <c r="H664" s="5">
        <v>3.0</v>
      </c>
      <c r="I664" s="20">
        <v>4702.65</v>
      </c>
      <c r="J664" s="2" t="s">
        <v>2062</v>
      </c>
      <c r="K664" s="2" t="s">
        <v>2063</v>
      </c>
      <c r="L664" s="2" t="s">
        <v>2064</v>
      </c>
    </row>
    <row r="665" ht="15.75" customHeight="1">
      <c r="A665" s="13">
        <v>45648.0</v>
      </c>
      <c r="B665" s="3" t="s">
        <v>9</v>
      </c>
      <c r="C665" s="2" t="str">
        <f t="shared" si="3"/>
        <v>Monterrey</v>
      </c>
      <c r="D665" s="19" t="s">
        <v>2351</v>
      </c>
      <c r="E665" s="19" t="s">
        <v>2354</v>
      </c>
      <c r="F665" s="19" t="s">
        <v>2346</v>
      </c>
      <c r="G665" s="20">
        <v>1717.67</v>
      </c>
      <c r="H665" s="5">
        <v>4.0</v>
      </c>
      <c r="I665" s="20">
        <v>6870.68</v>
      </c>
      <c r="J665" s="2" t="s">
        <v>2065</v>
      </c>
      <c r="K665" s="2" t="s">
        <v>2066</v>
      </c>
      <c r="L665" s="2" t="s">
        <v>2067</v>
      </c>
    </row>
    <row r="666" ht="15.75" customHeight="1">
      <c r="A666" s="13">
        <v>45648.0</v>
      </c>
      <c r="B666" s="2" t="s">
        <v>34</v>
      </c>
      <c r="C666" s="2" t="str">
        <f t="shared" si="3"/>
        <v>Medellín</v>
      </c>
      <c r="D666" s="19" t="s">
        <v>2343</v>
      </c>
      <c r="E666" s="19" t="s">
        <v>2359</v>
      </c>
      <c r="F666" s="19" t="s">
        <v>2346</v>
      </c>
      <c r="G666" s="20">
        <v>778.63</v>
      </c>
      <c r="H666" s="5">
        <v>1.0</v>
      </c>
      <c r="I666" s="20">
        <v>778.63</v>
      </c>
      <c r="J666" s="2" t="s">
        <v>2068</v>
      </c>
      <c r="K666" s="2" t="s">
        <v>2069</v>
      </c>
      <c r="L666" s="2" t="s">
        <v>2070</v>
      </c>
    </row>
    <row r="667" ht="15.75" customHeight="1">
      <c r="A667" s="13">
        <v>45648.0</v>
      </c>
      <c r="B667" s="3" t="s">
        <v>9</v>
      </c>
      <c r="C667" s="2" t="str">
        <f t="shared" si="3"/>
        <v>Monterrey</v>
      </c>
      <c r="D667" s="19" t="s">
        <v>2340</v>
      </c>
      <c r="E667" s="19" t="s">
        <v>2355</v>
      </c>
      <c r="F667" s="19" t="s">
        <v>2346</v>
      </c>
      <c r="G667" s="20">
        <v>2251.92</v>
      </c>
      <c r="H667" s="5">
        <v>5.0</v>
      </c>
      <c r="I667" s="20">
        <v>11259.6</v>
      </c>
      <c r="J667" s="2" t="s">
        <v>2071</v>
      </c>
      <c r="K667" s="2" t="s">
        <v>2072</v>
      </c>
      <c r="L667" s="2" t="s">
        <v>2073</v>
      </c>
    </row>
    <row r="668" ht="15.75" customHeight="1">
      <c r="A668" s="13">
        <v>45648.0</v>
      </c>
      <c r="B668" s="3" t="s">
        <v>74</v>
      </c>
      <c r="C668" s="2" t="str">
        <f t="shared" si="3"/>
        <v>Cali</v>
      </c>
      <c r="D668" s="19" t="s">
        <v>2343</v>
      </c>
      <c r="E668" s="19" t="s">
        <v>2359</v>
      </c>
      <c r="F668" s="19" t="s">
        <v>2346</v>
      </c>
      <c r="G668" s="20">
        <v>1770.14</v>
      </c>
      <c r="H668" s="5">
        <v>1.0</v>
      </c>
      <c r="I668" s="20">
        <v>1770.14</v>
      </c>
      <c r="J668" s="2" t="s">
        <v>2074</v>
      </c>
      <c r="K668" s="2" t="s">
        <v>2075</v>
      </c>
      <c r="L668" s="2" t="s">
        <v>2076</v>
      </c>
    </row>
    <row r="669" ht="15.75" customHeight="1">
      <c r="A669" s="13">
        <v>45648.0</v>
      </c>
      <c r="B669" s="3" t="s">
        <v>9</v>
      </c>
      <c r="C669" s="2" t="str">
        <f t="shared" si="3"/>
        <v>Monterrey</v>
      </c>
      <c r="D669" s="19" t="s">
        <v>2343</v>
      </c>
      <c r="E669" s="19" t="s">
        <v>2353</v>
      </c>
      <c r="F669" s="19" t="s">
        <v>2346</v>
      </c>
      <c r="G669" s="20">
        <v>489.63</v>
      </c>
      <c r="H669" s="5">
        <v>1.0</v>
      </c>
      <c r="I669" s="20">
        <v>489.63</v>
      </c>
      <c r="J669" s="2" t="s">
        <v>2077</v>
      </c>
      <c r="K669" s="2" t="s">
        <v>2078</v>
      </c>
      <c r="L669" s="2" t="s">
        <v>2079</v>
      </c>
    </row>
    <row r="670" ht="15.75" customHeight="1">
      <c r="A670" s="13">
        <v>45649.0</v>
      </c>
      <c r="B670" s="2" t="s">
        <v>57</v>
      </c>
      <c r="C670" s="2" t="str">
        <f t="shared" si="3"/>
        <v>Guadalajara</v>
      </c>
      <c r="D670" s="19" t="s">
        <v>2340</v>
      </c>
      <c r="E670" s="19" t="s">
        <v>2341</v>
      </c>
      <c r="F670" s="19" t="s">
        <v>2350</v>
      </c>
      <c r="G670" s="20">
        <v>625.26</v>
      </c>
      <c r="H670" s="5">
        <v>5.0</v>
      </c>
      <c r="I670" s="20">
        <v>3126.3</v>
      </c>
      <c r="J670" s="2" t="s">
        <v>2080</v>
      </c>
      <c r="K670" s="2" t="s">
        <v>2081</v>
      </c>
      <c r="L670" s="2" t="s">
        <v>2082</v>
      </c>
    </row>
    <row r="671" ht="15.75" customHeight="1">
      <c r="A671" s="13">
        <v>45649.0</v>
      </c>
      <c r="B671" s="3" t="s">
        <v>9</v>
      </c>
      <c r="C671" s="2" t="str">
        <f t="shared" si="3"/>
        <v>Monterrey</v>
      </c>
      <c r="D671" s="19" t="s">
        <v>2340</v>
      </c>
      <c r="E671" s="19" t="s">
        <v>2349</v>
      </c>
      <c r="F671" s="19" t="s">
        <v>2345</v>
      </c>
      <c r="G671" s="20">
        <v>784.39</v>
      </c>
      <c r="H671" s="5">
        <v>1.0</v>
      </c>
      <c r="I671" s="20">
        <v>784.39</v>
      </c>
      <c r="J671" s="2" t="s">
        <v>2083</v>
      </c>
      <c r="K671" s="2" t="s">
        <v>2084</v>
      </c>
      <c r="L671" s="2" t="s">
        <v>2085</v>
      </c>
    </row>
    <row r="672" ht="15.75" customHeight="1">
      <c r="A672" s="13">
        <v>45649.0</v>
      </c>
      <c r="B672" s="2" t="s">
        <v>57</v>
      </c>
      <c r="C672" s="2" t="str">
        <f t="shared" si="3"/>
        <v>Guadalajara</v>
      </c>
      <c r="D672" s="19" t="s">
        <v>2347</v>
      </c>
      <c r="E672" s="19" t="s">
        <v>2348</v>
      </c>
      <c r="F672" s="19" t="s">
        <v>2346</v>
      </c>
      <c r="G672" s="20">
        <v>1719.53</v>
      </c>
      <c r="H672" s="5">
        <v>2.0</v>
      </c>
      <c r="I672" s="20">
        <v>3439.06</v>
      </c>
      <c r="J672" s="2" t="s">
        <v>2086</v>
      </c>
      <c r="K672" s="2" t="s">
        <v>2087</v>
      </c>
      <c r="L672" s="2" t="s">
        <v>2088</v>
      </c>
    </row>
    <row r="673" ht="15.75" customHeight="1">
      <c r="A673" s="13">
        <v>45649.0</v>
      </c>
      <c r="B673" s="3" t="s">
        <v>14</v>
      </c>
      <c r="C673" s="2" t="str">
        <f t="shared" si="3"/>
        <v>Bogotá</v>
      </c>
      <c r="D673" s="19" t="s">
        <v>2343</v>
      </c>
      <c r="E673" s="19" t="s">
        <v>2353</v>
      </c>
      <c r="F673" s="19" t="s">
        <v>2350</v>
      </c>
      <c r="G673" s="20">
        <v>861.73</v>
      </c>
      <c r="H673" s="5">
        <v>5.0</v>
      </c>
      <c r="I673" s="20">
        <v>4308.65</v>
      </c>
      <c r="J673" s="2" t="s">
        <v>2089</v>
      </c>
      <c r="K673" s="2" t="s">
        <v>2090</v>
      </c>
      <c r="L673" s="2" t="s">
        <v>2091</v>
      </c>
    </row>
    <row r="674" ht="15.75" customHeight="1">
      <c r="A674" s="13">
        <v>45649.0</v>
      </c>
      <c r="B674" s="3" t="s">
        <v>14</v>
      </c>
      <c r="C674" s="2" t="str">
        <f t="shared" si="3"/>
        <v>Bogotá</v>
      </c>
      <c r="D674" s="19" t="s">
        <v>2343</v>
      </c>
      <c r="E674" s="19" t="s">
        <v>2353</v>
      </c>
      <c r="F674" s="19" t="s">
        <v>2342</v>
      </c>
      <c r="G674" s="20">
        <v>988.8</v>
      </c>
      <c r="H674" s="5">
        <v>5.0</v>
      </c>
      <c r="I674" s="20">
        <v>4944.0</v>
      </c>
      <c r="J674" s="2" t="s">
        <v>2092</v>
      </c>
      <c r="K674" s="2" t="s">
        <v>2093</v>
      </c>
      <c r="L674" s="2" t="s">
        <v>2094</v>
      </c>
    </row>
    <row r="675" ht="15.75" customHeight="1">
      <c r="A675" s="13">
        <v>45649.0</v>
      </c>
      <c r="B675" s="3" t="s">
        <v>9</v>
      </c>
      <c r="C675" s="2" t="str">
        <f t="shared" si="3"/>
        <v>Monterrey</v>
      </c>
      <c r="D675" s="19" t="s">
        <v>2351</v>
      </c>
      <c r="E675" s="19" t="s">
        <v>2354</v>
      </c>
      <c r="F675" s="19" t="s">
        <v>2345</v>
      </c>
      <c r="G675" s="20">
        <v>1696.63</v>
      </c>
      <c r="H675" s="5">
        <v>4.0</v>
      </c>
      <c r="I675" s="20">
        <v>6786.52</v>
      </c>
      <c r="J675" s="2" t="s">
        <v>2095</v>
      </c>
      <c r="K675" s="2" t="s">
        <v>2096</v>
      </c>
      <c r="L675" s="2" t="s">
        <v>2097</v>
      </c>
    </row>
    <row r="676" ht="15.75" customHeight="1">
      <c r="A676" s="13">
        <v>45649.0</v>
      </c>
      <c r="B676" s="3" t="s">
        <v>29</v>
      </c>
      <c r="C676" s="2" t="str">
        <f t="shared" si="3"/>
        <v>Ciudad De Mexico</v>
      </c>
      <c r="D676" s="19" t="s">
        <v>2351</v>
      </c>
      <c r="E676" s="19" t="s">
        <v>2357</v>
      </c>
      <c r="F676" s="19" t="s">
        <v>2345</v>
      </c>
      <c r="G676" s="20">
        <v>1663.22</v>
      </c>
      <c r="H676" s="5">
        <v>5.0</v>
      </c>
      <c r="I676" s="20">
        <v>8316.1</v>
      </c>
      <c r="J676" s="2" t="s">
        <v>2098</v>
      </c>
      <c r="K676" s="2" t="s">
        <v>2099</v>
      </c>
      <c r="L676" s="2" t="s">
        <v>2100</v>
      </c>
    </row>
    <row r="677" ht="15.75" customHeight="1">
      <c r="A677" s="13">
        <v>45649.0</v>
      </c>
      <c r="B677" s="3" t="s">
        <v>9</v>
      </c>
      <c r="C677" s="2" t="str">
        <f t="shared" si="3"/>
        <v>Monterrey</v>
      </c>
      <c r="D677" s="19" t="s">
        <v>2347</v>
      </c>
      <c r="E677" s="19" t="s">
        <v>2358</v>
      </c>
      <c r="F677" s="19" t="s">
        <v>2345</v>
      </c>
      <c r="G677" s="20">
        <v>1991.97</v>
      </c>
      <c r="H677" s="5">
        <v>3.0</v>
      </c>
      <c r="I677" s="20">
        <v>5975.91</v>
      </c>
      <c r="J677" s="2" t="s">
        <v>2101</v>
      </c>
      <c r="K677" s="2" t="s">
        <v>2102</v>
      </c>
      <c r="L677" s="2" t="s">
        <v>2103</v>
      </c>
    </row>
    <row r="678" ht="15.75" customHeight="1">
      <c r="A678" s="13">
        <v>45649.0</v>
      </c>
      <c r="B678" s="3" t="s">
        <v>29</v>
      </c>
      <c r="C678" s="2" t="str">
        <f t="shared" si="3"/>
        <v>Ciudad De Mexico</v>
      </c>
      <c r="D678" s="19" t="s">
        <v>2347</v>
      </c>
      <c r="E678" s="19" t="s">
        <v>2356</v>
      </c>
      <c r="F678" s="19" t="s">
        <v>2345</v>
      </c>
      <c r="G678" s="20">
        <v>1918.04</v>
      </c>
      <c r="H678" s="5">
        <v>5.0</v>
      </c>
      <c r="I678" s="20">
        <v>9590.2</v>
      </c>
      <c r="J678" s="2" t="s">
        <v>2104</v>
      </c>
      <c r="K678" s="2" t="s">
        <v>2105</v>
      </c>
      <c r="L678" s="2" t="s">
        <v>2106</v>
      </c>
    </row>
    <row r="679" ht="15.75" customHeight="1">
      <c r="A679" s="13">
        <v>45649.0</v>
      </c>
      <c r="B679" s="3" t="s">
        <v>74</v>
      </c>
      <c r="C679" s="2" t="str">
        <f t="shared" si="3"/>
        <v>Cali</v>
      </c>
      <c r="D679" s="19" t="s">
        <v>2340</v>
      </c>
      <c r="E679" s="19" t="s">
        <v>2349</v>
      </c>
      <c r="F679" s="19" t="s">
        <v>2350</v>
      </c>
      <c r="G679" s="20">
        <v>2115.54</v>
      </c>
      <c r="H679" s="5">
        <v>5.0</v>
      </c>
      <c r="I679" s="20">
        <v>10577.7</v>
      </c>
      <c r="J679" s="2" t="s">
        <v>2107</v>
      </c>
      <c r="K679" s="2" t="s">
        <v>2108</v>
      </c>
      <c r="L679" s="2" t="s">
        <v>2109</v>
      </c>
    </row>
    <row r="680" ht="15.75" customHeight="1">
      <c r="A680" s="13">
        <v>45649.0</v>
      </c>
      <c r="B680" s="2" t="s">
        <v>34</v>
      </c>
      <c r="C680" s="2" t="str">
        <f t="shared" si="3"/>
        <v>Medellín</v>
      </c>
      <c r="D680" s="19" t="s">
        <v>2351</v>
      </c>
      <c r="E680" s="19" t="s">
        <v>2357</v>
      </c>
      <c r="F680" s="19" t="s">
        <v>2342</v>
      </c>
      <c r="G680" s="20">
        <v>2469.75</v>
      </c>
      <c r="H680" s="5">
        <v>5.0</v>
      </c>
      <c r="I680" s="20">
        <v>12348.75</v>
      </c>
      <c r="J680" s="2" t="s">
        <v>2110</v>
      </c>
      <c r="K680" s="2" t="s">
        <v>2111</v>
      </c>
      <c r="L680" s="2" t="s">
        <v>2112</v>
      </c>
    </row>
    <row r="681" ht="15.75" customHeight="1">
      <c r="A681" s="13">
        <v>45649.0</v>
      </c>
      <c r="B681" s="3" t="s">
        <v>9</v>
      </c>
      <c r="C681" s="2" t="str">
        <f t="shared" si="3"/>
        <v>Monterrey</v>
      </c>
      <c r="D681" s="19" t="s">
        <v>2340</v>
      </c>
      <c r="E681" s="19" t="s">
        <v>2355</v>
      </c>
      <c r="F681" s="19" t="s">
        <v>2345</v>
      </c>
      <c r="G681" s="20">
        <v>2174.89</v>
      </c>
      <c r="H681" s="5">
        <v>2.0</v>
      </c>
      <c r="I681" s="20">
        <v>4349.78</v>
      </c>
      <c r="J681" s="2" t="s">
        <v>2113</v>
      </c>
      <c r="K681" s="2" t="s">
        <v>2114</v>
      </c>
      <c r="L681" s="2" t="s">
        <v>2115</v>
      </c>
    </row>
    <row r="682" ht="15.75" customHeight="1">
      <c r="A682" s="13">
        <v>45649.0</v>
      </c>
      <c r="B682" s="3" t="s">
        <v>9</v>
      </c>
      <c r="C682" s="2" t="str">
        <f t="shared" si="3"/>
        <v>Monterrey</v>
      </c>
      <c r="D682" s="19" t="s">
        <v>2340</v>
      </c>
      <c r="E682" s="19" t="s">
        <v>2349</v>
      </c>
      <c r="F682" s="19" t="s">
        <v>2345</v>
      </c>
      <c r="G682" s="20">
        <v>1148.92</v>
      </c>
      <c r="H682" s="5">
        <v>4.0</v>
      </c>
      <c r="I682" s="20">
        <v>4595.68</v>
      </c>
      <c r="J682" s="2" t="s">
        <v>2116</v>
      </c>
      <c r="K682" s="2" t="s">
        <v>2117</v>
      </c>
      <c r="L682" s="2" t="s">
        <v>2118</v>
      </c>
    </row>
    <row r="683" ht="15.75" customHeight="1">
      <c r="A683" s="13">
        <v>45650.0</v>
      </c>
      <c r="B683" s="3" t="s">
        <v>29</v>
      </c>
      <c r="C683" s="2" t="str">
        <f t="shared" si="3"/>
        <v>Ciudad De Mexico</v>
      </c>
      <c r="D683" s="19" t="s">
        <v>2351</v>
      </c>
      <c r="E683" s="19" t="s">
        <v>2352</v>
      </c>
      <c r="F683" s="19" t="s">
        <v>2346</v>
      </c>
      <c r="G683" s="20">
        <v>1247.53</v>
      </c>
      <c r="H683" s="5">
        <v>4.0</v>
      </c>
      <c r="I683" s="20">
        <v>4990.12</v>
      </c>
      <c r="J683" s="2" t="s">
        <v>2119</v>
      </c>
      <c r="K683" s="2" t="s">
        <v>2120</v>
      </c>
      <c r="L683" s="2" t="s">
        <v>2121</v>
      </c>
    </row>
    <row r="684" ht="15.75" customHeight="1">
      <c r="A684" s="13">
        <v>45650.0</v>
      </c>
      <c r="B684" s="2" t="s">
        <v>34</v>
      </c>
      <c r="C684" s="2" t="str">
        <f t="shared" si="3"/>
        <v>Medellín</v>
      </c>
      <c r="D684" s="19" t="s">
        <v>2347</v>
      </c>
      <c r="E684" s="19" t="s">
        <v>2356</v>
      </c>
      <c r="F684" s="19" t="s">
        <v>2346</v>
      </c>
      <c r="G684" s="20">
        <v>758.87</v>
      </c>
      <c r="H684" s="5">
        <v>3.0</v>
      </c>
      <c r="I684" s="20">
        <v>2276.61</v>
      </c>
      <c r="J684" s="2" t="s">
        <v>2122</v>
      </c>
      <c r="K684" s="2" t="s">
        <v>2123</v>
      </c>
      <c r="L684" s="7" t="s">
        <v>2124</v>
      </c>
    </row>
    <row r="685" ht="15.75" customHeight="1">
      <c r="A685" s="13">
        <v>45650.0</v>
      </c>
      <c r="B685" s="3" t="s">
        <v>74</v>
      </c>
      <c r="C685" s="2" t="str">
        <f t="shared" si="3"/>
        <v>Cali</v>
      </c>
      <c r="D685" s="19" t="s">
        <v>2347</v>
      </c>
      <c r="E685" s="19" t="s">
        <v>2348</v>
      </c>
      <c r="F685" s="19" t="s">
        <v>2342</v>
      </c>
      <c r="G685" s="20">
        <v>2441.7</v>
      </c>
      <c r="H685" s="5">
        <v>2.0</v>
      </c>
      <c r="I685" s="20">
        <v>4883.4</v>
      </c>
      <c r="J685" s="2" t="s">
        <v>2125</v>
      </c>
      <c r="K685" s="2" t="s">
        <v>2126</v>
      </c>
      <c r="L685" s="2" t="s">
        <v>2127</v>
      </c>
    </row>
    <row r="686" ht="15.75" customHeight="1">
      <c r="A686" s="13">
        <v>45650.0</v>
      </c>
      <c r="B686" s="3" t="s">
        <v>14</v>
      </c>
      <c r="C686" s="2" t="str">
        <f t="shared" si="3"/>
        <v>Bogotá</v>
      </c>
      <c r="D686" s="19" t="s">
        <v>2340</v>
      </c>
      <c r="E686" s="19" t="s">
        <v>2341</v>
      </c>
      <c r="F686" s="19" t="s">
        <v>2350</v>
      </c>
      <c r="G686" s="20">
        <v>366.39</v>
      </c>
      <c r="H686" s="5">
        <v>4.0</v>
      </c>
      <c r="I686" s="20">
        <v>1465.56</v>
      </c>
      <c r="J686" s="2" t="s">
        <v>2128</v>
      </c>
      <c r="K686" s="2" t="s">
        <v>2129</v>
      </c>
      <c r="L686" s="2" t="s">
        <v>2130</v>
      </c>
    </row>
    <row r="687" ht="15.75" customHeight="1">
      <c r="A687" s="13">
        <v>45650.0</v>
      </c>
      <c r="B687" s="3" t="s">
        <v>14</v>
      </c>
      <c r="C687" s="2" t="str">
        <f t="shared" si="3"/>
        <v>Bogotá</v>
      </c>
      <c r="D687" s="19" t="s">
        <v>2340</v>
      </c>
      <c r="E687" s="19" t="s">
        <v>2341</v>
      </c>
      <c r="F687" s="19" t="s">
        <v>2345</v>
      </c>
      <c r="G687" s="20">
        <v>306.11</v>
      </c>
      <c r="H687" s="5">
        <v>2.0</v>
      </c>
      <c r="I687" s="20">
        <v>612.22</v>
      </c>
      <c r="J687" s="2" t="s">
        <v>2131</v>
      </c>
      <c r="K687" s="2" t="s">
        <v>2132</v>
      </c>
      <c r="L687" s="2" t="s">
        <v>2133</v>
      </c>
    </row>
    <row r="688" ht="15.75" customHeight="1">
      <c r="A688" s="13">
        <v>45650.0</v>
      </c>
      <c r="B688" s="3" t="s">
        <v>29</v>
      </c>
      <c r="C688" s="2" t="str">
        <f t="shared" si="3"/>
        <v>Ciudad De Mexico</v>
      </c>
      <c r="D688" s="19" t="s">
        <v>2347</v>
      </c>
      <c r="E688" s="19" t="s">
        <v>2348</v>
      </c>
      <c r="F688" s="19" t="s">
        <v>2342</v>
      </c>
      <c r="G688" s="20">
        <v>988.44</v>
      </c>
      <c r="H688" s="5">
        <v>2.0</v>
      </c>
      <c r="I688" s="20">
        <v>1976.88</v>
      </c>
      <c r="J688" s="2" t="s">
        <v>2134</v>
      </c>
      <c r="K688" s="2" t="s">
        <v>2135</v>
      </c>
      <c r="L688" s="2" t="s">
        <v>2136</v>
      </c>
    </row>
    <row r="689" ht="15.75" customHeight="1">
      <c r="A689" s="13">
        <v>45650.0</v>
      </c>
      <c r="B689" s="3" t="s">
        <v>14</v>
      </c>
      <c r="C689" s="2" t="str">
        <f t="shared" si="3"/>
        <v>Bogotá</v>
      </c>
      <c r="D689" s="19" t="s">
        <v>2340</v>
      </c>
      <c r="E689" s="19" t="s">
        <v>2349</v>
      </c>
      <c r="F689" s="19" t="s">
        <v>2346</v>
      </c>
      <c r="G689" s="20">
        <v>2003.92</v>
      </c>
      <c r="H689" s="5">
        <v>2.0</v>
      </c>
      <c r="I689" s="20">
        <v>4007.84</v>
      </c>
      <c r="J689" s="2" t="s">
        <v>2137</v>
      </c>
      <c r="K689" s="2" t="s">
        <v>2138</v>
      </c>
      <c r="L689" s="2" t="s">
        <v>2139</v>
      </c>
    </row>
    <row r="690" ht="15.75" customHeight="1">
      <c r="A690" s="13">
        <v>45650.0</v>
      </c>
      <c r="B690" s="2" t="s">
        <v>34</v>
      </c>
      <c r="C690" s="2" t="str">
        <f t="shared" si="3"/>
        <v>Medellín</v>
      </c>
      <c r="D690" s="19" t="s">
        <v>2347</v>
      </c>
      <c r="E690" s="19" t="s">
        <v>2348</v>
      </c>
      <c r="F690" s="19" t="s">
        <v>2342</v>
      </c>
      <c r="G690" s="20">
        <v>519.68</v>
      </c>
      <c r="H690" s="5">
        <v>5.0</v>
      </c>
      <c r="I690" s="20">
        <v>2598.4</v>
      </c>
      <c r="J690" s="2" t="s">
        <v>2140</v>
      </c>
      <c r="K690" s="2" t="s">
        <v>2141</v>
      </c>
      <c r="L690" s="2" t="s">
        <v>2142</v>
      </c>
    </row>
    <row r="691" ht="15.75" customHeight="1">
      <c r="A691" s="13">
        <v>45650.0</v>
      </c>
      <c r="B691" s="2" t="s">
        <v>34</v>
      </c>
      <c r="C691" s="2" t="str">
        <f t="shared" si="3"/>
        <v>Medellín</v>
      </c>
      <c r="D691" s="19" t="s">
        <v>2347</v>
      </c>
      <c r="E691" s="19" t="s">
        <v>2358</v>
      </c>
      <c r="F691" s="19" t="s">
        <v>2346</v>
      </c>
      <c r="G691" s="20">
        <v>920.71</v>
      </c>
      <c r="H691" s="5">
        <v>4.0</v>
      </c>
      <c r="I691" s="20">
        <v>3682.84</v>
      </c>
      <c r="J691" s="2" t="s">
        <v>2143</v>
      </c>
      <c r="K691" s="2" t="s">
        <v>2144</v>
      </c>
      <c r="L691" s="2" t="s">
        <v>2145</v>
      </c>
    </row>
    <row r="692" ht="15.75" customHeight="1">
      <c r="A692" s="13">
        <v>45650.0</v>
      </c>
      <c r="B692" s="3" t="s">
        <v>29</v>
      </c>
      <c r="C692" s="2" t="str">
        <f t="shared" si="3"/>
        <v>Ciudad De Mexico</v>
      </c>
      <c r="D692" s="19" t="s">
        <v>2347</v>
      </c>
      <c r="E692" s="19" t="s">
        <v>2356</v>
      </c>
      <c r="F692" s="19" t="s">
        <v>2345</v>
      </c>
      <c r="G692" s="20">
        <v>1089.03</v>
      </c>
      <c r="H692" s="5">
        <v>5.0</v>
      </c>
      <c r="I692" s="20">
        <v>5445.15</v>
      </c>
      <c r="J692" s="2" t="s">
        <v>2146</v>
      </c>
      <c r="K692" s="2" t="s">
        <v>2147</v>
      </c>
      <c r="L692" s="2" t="s">
        <v>2148</v>
      </c>
    </row>
    <row r="693" ht="15.75" customHeight="1">
      <c r="A693" s="13">
        <v>45650.0</v>
      </c>
      <c r="B693" s="2" t="s">
        <v>34</v>
      </c>
      <c r="C693" s="2" t="str">
        <f t="shared" si="3"/>
        <v>Medellín</v>
      </c>
      <c r="D693" s="19" t="s">
        <v>2340</v>
      </c>
      <c r="E693" s="19" t="s">
        <v>2355</v>
      </c>
      <c r="F693" s="19" t="s">
        <v>2346</v>
      </c>
      <c r="G693" s="20">
        <v>500.74</v>
      </c>
      <c r="H693" s="5">
        <v>4.0</v>
      </c>
      <c r="I693" s="20">
        <v>2002.96</v>
      </c>
      <c r="J693" s="2" t="s">
        <v>2149</v>
      </c>
      <c r="K693" s="2" t="s">
        <v>2150</v>
      </c>
      <c r="L693" s="2" t="s">
        <v>2151</v>
      </c>
    </row>
    <row r="694" ht="15.75" customHeight="1">
      <c r="A694" s="13">
        <v>45651.0</v>
      </c>
      <c r="B694" s="3" t="s">
        <v>9</v>
      </c>
      <c r="C694" s="2" t="str">
        <f t="shared" si="3"/>
        <v>Monterrey</v>
      </c>
      <c r="D694" s="19" t="s">
        <v>2351</v>
      </c>
      <c r="E694" s="19" t="s">
        <v>2352</v>
      </c>
      <c r="F694" s="19" t="s">
        <v>2345</v>
      </c>
      <c r="G694" s="20">
        <v>1047.88</v>
      </c>
      <c r="H694" s="5">
        <v>3.0</v>
      </c>
      <c r="I694" s="20">
        <v>3143.64</v>
      </c>
      <c r="J694" s="2" t="s">
        <v>2152</v>
      </c>
      <c r="K694" s="2" t="s">
        <v>2153</v>
      </c>
      <c r="L694" s="2" t="s">
        <v>2154</v>
      </c>
    </row>
    <row r="695" ht="15.75" customHeight="1">
      <c r="A695" s="13">
        <v>45651.0</v>
      </c>
      <c r="B695" s="3" t="s">
        <v>74</v>
      </c>
      <c r="C695" s="2" t="str">
        <f t="shared" si="3"/>
        <v>Cali</v>
      </c>
      <c r="D695" s="19" t="s">
        <v>2343</v>
      </c>
      <c r="E695" s="19" t="s">
        <v>2344</v>
      </c>
      <c r="F695" s="19" t="s">
        <v>2346</v>
      </c>
      <c r="G695" s="20">
        <v>228.56</v>
      </c>
      <c r="H695" s="5">
        <v>3.0</v>
      </c>
      <c r="I695" s="20">
        <v>685.68</v>
      </c>
      <c r="J695" s="2" t="s">
        <v>2155</v>
      </c>
      <c r="K695" s="2" t="s">
        <v>2156</v>
      </c>
      <c r="L695" s="2" t="s">
        <v>2157</v>
      </c>
    </row>
    <row r="696" ht="15.75" customHeight="1">
      <c r="A696" s="13">
        <v>45651.0</v>
      </c>
      <c r="B696" s="3" t="s">
        <v>74</v>
      </c>
      <c r="C696" s="2" t="str">
        <f t="shared" si="3"/>
        <v>Cali</v>
      </c>
      <c r="D696" s="19" t="s">
        <v>2340</v>
      </c>
      <c r="E696" s="19" t="s">
        <v>2349</v>
      </c>
      <c r="F696" s="19" t="s">
        <v>2345</v>
      </c>
      <c r="G696" s="20">
        <v>1068.29</v>
      </c>
      <c r="H696" s="5">
        <v>4.0</v>
      </c>
      <c r="I696" s="20">
        <v>4273.16</v>
      </c>
      <c r="J696" s="2" t="s">
        <v>2158</v>
      </c>
      <c r="K696" s="2" t="s">
        <v>2159</v>
      </c>
      <c r="L696" s="2" t="s">
        <v>2160</v>
      </c>
    </row>
    <row r="697" ht="15.75" customHeight="1">
      <c r="A697" s="13">
        <v>45651.0</v>
      </c>
      <c r="B697" s="3" t="s">
        <v>9</v>
      </c>
      <c r="C697" s="2" t="str">
        <f t="shared" si="3"/>
        <v>Monterrey</v>
      </c>
      <c r="D697" s="19" t="s">
        <v>2351</v>
      </c>
      <c r="E697" s="19" t="s">
        <v>2357</v>
      </c>
      <c r="F697" s="19" t="s">
        <v>2350</v>
      </c>
      <c r="G697" s="20">
        <v>173.94</v>
      </c>
      <c r="H697" s="5">
        <v>5.0</v>
      </c>
      <c r="I697" s="20">
        <v>869.7</v>
      </c>
      <c r="J697" s="2" t="s">
        <v>2161</v>
      </c>
      <c r="K697" s="2" t="s">
        <v>2162</v>
      </c>
      <c r="L697" s="2" t="s">
        <v>2163</v>
      </c>
    </row>
    <row r="698" ht="15.75" customHeight="1">
      <c r="A698" s="13">
        <v>45651.0</v>
      </c>
      <c r="B698" s="3" t="s">
        <v>14</v>
      </c>
      <c r="C698" s="2" t="str">
        <f t="shared" si="3"/>
        <v>Bogotá</v>
      </c>
      <c r="D698" s="19" t="s">
        <v>2347</v>
      </c>
      <c r="E698" s="19" t="s">
        <v>2358</v>
      </c>
      <c r="F698" s="19" t="s">
        <v>2350</v>
      </c>
      <c r="G698" s="20">
        <v>2271.98</v>
      </c>
      <c r="H698" s="5">
        <v>5.0</v>
      </c>
      <c r="I698" s="20">
        <v>11359.9</v>
      </c>
      <c r="J698" s="2" t="s">
        <v>2164</v>
      </c>
      <c r="K698" s="2" t="s">
        <v>2165</v>
      </c>
      <c r="L698" s="2" t="s">
        <v>2166</v>
      </c>
    </row>
    <row r="699" ht="15.75" customHeight="1">
      <c r="A699" s="13">
        <v>45651.0</v>
      </c>
      <c r="B699" s="3" t="s">
        <v>74</v>
      </c>
      <c r="C699" s="2" t="str">
        <f t="shared" si="3"/>
        <v>Cali</v>
      </c>
      <c r="D699" s="19" t="s">
        <v>2347</v>
      </c>
      <c r="E699" s="19" t="s">
        <v>2348</v>
      </c>
      <c r="F699" s="19" t="s">
        <v>2342</v>
      </c>
      <c r="G699" s="20">
        <v>2461.45</v>
      </c>
      <c r="H699" s="5">
        <v>4.0</v>
      </c>
      <c r="I699" s="20">
        <v>9845.8</v>
      </c>
      <c r="J699" s="2" t="s">
        <v>2167</v>
      </c>
      <c r="K699" s="2" t="s">
        <v>2168</v>
      </c>
      <c r="L699" s="2" t="s">
        <v>2169</v>
      </c>
    </row>
    <row r="700" ht="15.75" customHeight="1">
      <c r="A700" s="13">
        <v>45651.0</v>
      </c>
      <c r="B700" s="3" t="s">
        <v>74</v>
      </c>
      <c r="C700" s="2" t="str">
        <f t="shared" si="3"/>
        <v>Cali</v>
      </c>
      <c r="D700" s="19" t="s">
        <v>2340</v>
      </c>
      <c r="E700" s="19" t="s">
        <v>2355</v>
      </c>
      <c r="F700" s="19" t="s">
        <v>2342</v>
      </c>
      <c r="G700" s="20">
        <v>848.42</v>
      </c>
      <c r="H700" s="5">
        <v>3.0</v>
      </c>
      <c r="I700" s="20">
        <v>2545.26</v>
      </c>
      <c r="J700" s="2" t="s">
        <v>2170</v>
      </c>
      <c r="K700" s="2" t="s">
        <v>2171</v>
      </c>
      <c r="L700" s="7" t="s">
        <v>2172</v>
      </c>
    </row>
    <row r="701" ht="15.75" customHeight="1">
      <c r="A701" s="13">
        <v>45651.0</v>
      </c>
      <c r="B701" s="3" t="s">
        <v>9</v>
      </c>
      <c r="C701" s="2" t="str">
        <f t="shared" si="3"/>
        <v>Monterrey</v>
      </c>
      <c r="D701" s="19" t="s">
        <v>2347</v>
      </c>
      <c r="E701" s="19" t="s">
        <v>2348</v>
      </c>
      <c r="F701" s="19" t="s">
        <v>2350</v>
      </c>
      <c r="G701" s="20">
        <v>2334.37</v>
      </c>
      <c r="H701" s="5">
        <v>1.0</v>
      </c>
      <c r="I701" s="20">
        <v>2334.37</v>
      </c>
      <c r="J701" s="2" t="s">
        <v>2173</v>
      </c>
      <c r="K701" s="2" t="s">
        <v>2174</v>
      </c>
      <c r="L701" s="2" t="s">
        <v>2175</v>
      </c>
    </row>
    <row r="702" ht="15.75" customHeight="1">
      <c r="A702" s="13">
        <v>45651.0</v>
      </c>
      <c r="B702" s="3" t="s">
        <v>74</v>
      </c>
      <c r="C702" s="2" t="str">
        <f t="shared" si="3"/>
        <v>Cali</v>
      </c>
      <c r="D702" s="19" t="s">
        <v>2340</v>
      </c>
      <c r="E702" s="19" t="s">
        <v>2355</v>
      </c>
      <c r="F702" s="19" t="s">
        <v>2346</v>
      </c>
      <c r="G702" s="20">
        <v>648.35</v>
      </c>
      <c r="H702" s="5">
        <v>5.0</v>
      </c>
      <c r="I702" s="20">
        <v>3241.75</v>
      </c>
      <c r="J702" s="2" t="s">
        <v>2176</v>
      </c>
      <c r="K702" s="2" t="s">
        <v>2177</v>
      </c>
      <c r="L702" s="2" t="s">
        <v>2178</v>
      </c>
    </row>
    <row r="703" ht="15.75" customHeight="1">
      <c r="A703" s="13">
        <v>45652.0</v>
      </c>
      <c r="B703" s="3" t="s">
        <v>74</v>
      </c>
      <c r="C703" s="2" t="str">
        <f t="shared" si="3"/>
        <v>Cali</v>
      </c>
      <c r="D703" s="19" t="s">
        <v>2343</v>
      </c>
      <c r="E703" s="19" t="s">
        <v>2359</v>
      </c>
      <c r="F703" s="19" t="s">
        <v>2346</v>
      </c>
      <c r="G703" s="20">
        <v>1794.09</v>
      </c>
      <c r="H703" s="5">
        <v>5.0</v>
      </c>
      <c r="I703" s="20">
        <v>8970.45</v>
      </c>
      <c r="J703" s="2" t="s">
        <v>2179</v>
      </c>
      <c r="K703" s="2" t="s">
        <v>2180</v>
      </c>
      <c r="L703" s="2" t="s">
        <v>2181</v>
      </c>
    </row>
    <row r="704" ht="15.75" customHeight="1">
      <c r="A704" s="13">
        <v>45652.0</v>
      </c>
      <c r="B704" s="3" t="s">
        <v>29</v>
      </c>
      <c r="C704" s="2" t="str">
        <f t="shared" si="3"/>
        <v>Ciudad De Mexico</v>
      </c>
      <c r="D704" s="19" t="s">
        <v>2340</v>
      </c>
      <c r="E704" s="19" t="s">
        <v>2341</v>
      </c>
      <c r="F704" s="19" t="s">
        <v>2346</v>
      </c>
      <c r="G704" s="20">
        <v>658.24</v>
      </c>
      <c r="H704" s="5">
        <v>3.0</v>
      </c>
      <c r="I704" s="20">
        <v>1974.72</v>
      </c>
      <c r="J704" s="2" t="s">
        <v>2182</v>
      </c>
      <c r="K704" s="2" t="s">
        <v>2183</v>
      </c>
      <c r="L704" s="2" t="s">
        <v>2184</v>
      </c>
    </row>
    <row r="705" ht="15.75" customHeight="1">
      <c r="A705" s="13">
        <v>45652.0</v>
      </c>
      <c r="B705" s="2" t="s">
        <v>57</v>
      </c>
      <c r="C705" s="2" t="str">
        <f t="shared" si="3"/>
        <v>Guadalajara</v>
      </c>
      <c r="D705" s="19" t="s">
        <v>2340</v>
      </c>
      <c r="E705" s="19" t="s">
        <v>2355</v>
      </c>
      <c r="F705" s="19" t="s">
        <v>2345</v>
      </c>
      <c r="G705" s="20">
        <v>824.79</v>
      </c>
      <c r="H705" s="5">
        <v>4.0</v>
      </c>
      <c r="I705" s="20">
        <v>3299.16</v>
      </c>
      <c r="J705" s="2" t="s">
        <v>2185</v>
      </c>
      <c r="K705" s="2" t="s">
        <v>2186</v>
      </c>
      <c r="L705" s="2" t="s">
        <v>2187</v>
      </c>
    </row>
    <row r="706" ht="15.75" customHeight="1">
      <c r="A706" s="13">
        <v>45652.0</v>
      </c>
      <c r="B706" s="2" t="s">
        <v>34</v>
      </c>
      <c r="C706" s="2" t="str">
        <f t="shared" si="3"/>
        <v>Medellín</v>
      </c>
      <c r="D706" s="19" t="s">
        <v>2343</v>
      </c>
      <c r="E706" s="19" t="s">
        <v>2360</v>
      </c>
      <c r="F706" s="19" t="s">
        <v>2350</v>
      </c>
      <c r="G706" s="20">
        <v>1056.48</v>
      </c>
      <c r="H706" s="5">
        <v>4.0</v>
      </c>
      <c r="I706" s="20">
        <v>4225.92</v>
      </c>
      <c r="J706" s="2" t="s">
        <v>2188</v>
      </c>
      <c r="K706" s="2" t="s">
        <v>2189</v>
      </c>
      <c r="L706" s="2" t="s">
        <v>2190</v>
      </c>
    </row>
    <row r="707" ht="15.75" customHeight="1">
      <c r="A707" s="13">
        <v>45652.0</v>
      </c>
      <c r="B707" s="3" t="s">
        <v>9</v>
      </c>
      <c r="C707" s="2" t="str">
        <f t="shared" si="3"/>
        <v>Monterrey</v>
      </c>
      <c r="D707" s="19" t="s">
        <v>2347</v>
      </c>
      <c r="E707" s="19" t="s">
        <v>2356</v>
      </c>
      <c r="F707" s="19" t="s">
        <v>2346</v>
      </c>
      <c r="G707" s="20">
        <v>932.02</v>
      </c>
      <c r="H707" s="5">
        <v>4.0</v>
      </c>
      <c r="I707" s="20">
        <v>3728.08</v>
      </c>
      <c r="J707" s="2" t="s">
        <v>2191</v>
      </c>
      <c r="K707" s="2" t="s">
        <v>2192</v>
      </c>
      <c r="L707" s="2" t="s">
        <v>2193</v>
      </c>
    </row>
    <row r="708" ht="15.75" customHeight="1">
      <c r="A708" s="13">
        <v>45652.0</v>
      </c>
      <c r="B708" s="2" t="s">
        <v>57</v>
      </c>
      <c r="C708" s="2" t="str">
        <f t="shared" si="3"/>
        <v>Guadalajara</v>
      </c>
      <c r="D708" s="19" t="s">
        <v>2351</v>
      </c>
      <c r="E708" s="19" t="s">
        <v>2354</v>
      </c>
      <c r="F708" s="19" t="s">
        <v>2342</v>
      </c>
      <c r="G708" s="20">
        <v>2140.33</v>
      </c>
      <c r="H708" s="5">
        <v>5.0</v>
      </c>
      <c r="I708" s="20">
        <v>10701.65</v>
      </c>
      <c r="J708" s="2" t="s">
        <v>2194</v>
      </c>
      <c r="K708" s="2" t="s">
        <v>2195</v>
      </c>
      <c r="L708" s="2" t="s">
        <v>2196</v>
      </c>
    </row>
    <row r="709" ht="15.75" customHeight="1">
      <c r="A709" s="13">
        <v>45652.0</v>
      </c>
      <c r="B709" s="3" t="s">
        <v>74</v>
      </c>
      <c r="C709" s="2" t="str">
        <f t="shared" si="3"/>
        <v>Cali</v>
      </c>
      <c r="D709" s="19" t="s">
        <v>2343</v>
      </c>
      <c r="E709" s="19" t="s">
        <v>2344</v>
      </c>
      <c r="F709" s="19" t="s">
        <v>2342</v>
      </c>
      <c r="G709" s="20">
        <v>554.25</v>
      </c>
      <c r="H709" s="5">
        <v>1.0</v>
      </c>
      <c r="I709" s="20">
        <v>554.25</v>
      </c>
      <c r="J709" s="2" t="s">
        <v>2197</v>
      </c>
      <c r="K709" s="2" t="s">
        <v>2198</v>
      </c>
      <c r="L709" s="2" t="s">
        <v>2199</v>
      </c>
    </row>
    <row r="710" ht="15.75" customHeight="1">
      <c r="A710" s="13">
        <v>45652.0</v>
      </c>
      <c r="B710" s="2" t="s">
        <v>57</v>
      </c>
      <c r="C710" s="2" t="str">
        <f t="shared" si="3"/>
        <v>Guadalajara</v>
      </c>
      <c r="D710" s="19" t="s">
        <v>2347</v>
      </c>
      <c r="E710" s="19" t="s">
        <v>2356</v>
      </c>
      <c r="F710" s="19" t="s">
        <v>2346</v>
      </c>
      <c r="G710" s="20">
        <v>173.36</v>
      </c>
      <c r="H710" s="5">
        <v>2.0</v>
      </c>
      <c r="I710" s="20">
        <v>346.72</v>
      </c>
      <c r="J710" s="2" t="s">
        <v>2200</v>
      </c>
      <c r="K710" s="2" t="s">
        <v>2201</v>
      </c>
      <c r="L710" s="2" t="s">
        <v>2202</v>
      </c>
    </row>
    <row r="711" ht="15.75" customHeight="1">
      <c r="A711" s="13">
        <v>45653.0</v>
      </c>
      <c r="B711" s="3" t="s">
        <v>29</v>
      </c>
      <c r="C711" s="2" t="str">
        <f t="shared" si="3"/>
        <v>Ciudad De Mexico</v>
      </c>
      <c r="D711" s="19" t="s">
        <v>2340</v>
      </c>
      <c r="E711" s="19" t="s">
        <v>2341</v>
      </c>
      <c r="F711" s="19" t="s">
        <v>2342</v>
      </c>
      <c r="G711" s="20">
        <v>1935.15</v>
      </c>
      <c r="H711" s="5">
        <v>3.0</v>
      </c>
      <c r="I711" s="20">
        <v>5805.45</v>
      </c>
      <c r="J711" s="2" t="s">
        <v>2203</v>
      </c>
      <c r="K711" s="2" t="s">
        <v>2204</v>
      </c>
      <c r="L711" s="2" t="s">
        <v>2205</v>
      </c>
    </row>
    <row r="712" ht="15.75" customHeight="1">
      <c r="A712" s="13">
        <v>45653.0</v>
      </c>
      <c r="B712" s="3" t="s">
        <v>74</v>
      </c>
      <c r="C712" s="2" t="str">
        <f t="shared" si="3"/>
        <v>Cali</v>
      </c>
      <c r="D712" s="19" t="s">
        <v>2347</v>
      </c>
      <c r="E712" s="19" t="s">
        <v>2348</v>
      </c>
      <c r="F712" s="19" t="s">
        <v>2350</v>
      </c>
      <c r="G712" s="20">
        <v>1923.56</v>
      </c>
      <c r="H712" s="5">
        <v>4.0</v>
      </c>
      <c r="I712" s="20">
        <v>7694.24</v>
      </c>
      <c r="J712" s="2" t="s">
        <v>2206</v>
      </c>
      <c r="K712" s="2" t="s">
        <v>2207</v>
      </c>
      <c r="L712" s="2" t="s">
        <v>2208</v>
      </c>
    </row>
    <row r="713" ht="15.75" customHeight="1">
      <c r="A713" s="13">
        <v>45653.0</v>
      </c>
      <c r="B713" s="3" t="s">
        <v>74</v>
      </c>
      <c r="C713" s="2" t="str">
        <f t="shared" si="3"/>
        <v>Cali</v>
      </c>
      <c r="D713" s="19" t="s">
        <v>2343</v>
      </c>
      <c r="E713" s="19" t="s">
        <v>2360</v>
      </c>
      <c r="F713" s="19" t="s">
        <v>2350</v>
      </c>
      <c r="G713" s="20">
        <v>2263.78</v>
      </c>
      <c r="H713" s="5">
        <v>5.0</v>
      </c>
      <c r="I713" s="20">
        <v>11318.9</v>
      </c>
      <c r="J713" s="2" t="s">
        <v>2209</v>
      </c>
      <c r="K713" s="2" t="s">
        <v>2210</v>
      </c>
      <c r="L713" s="2" t="s">
        <v>2211</v>
      </c>
    </row>
    <row r="714" ht="15.75" customHeight="1">
      <c r="A714" s="13">
        <v>45653.0</v>
      </c>
      <c r="B714" s="3" t="s">
        <v>14</v>
      </c>
      <c r="C714" s="2" t="str">
        <f t="shared" si="3"/>
        <v>Bogotá</v>
      </c>
      <c r="D714" s="19" t="s">
        <v>2351</v>
      </c>
      <c r="E714" s="19" t="s">
        <v>2352</v>
      </c>
      <c r="F714" s="19" t="s">
        <v>2342</v>
      </c>
      <c r="G714" s="20">
        <v>1831.56</v>
      </c>
      <c r="H714" s="5">
        <v>2.0</v>
      </c>
      <c r="I714" s="20">
        <v>3663.12</v>
      </c>
      <c r="J714" s="2" t="s">
        <v>2212</v>
      </c>
      <c r="K714" s="2" t="s">
        <v>2213</v>
      </c>
      <c r="L714" s="2" t="s">
        <v>2214</v>
      </c>
    </row>
    <row r="715" ht="15.75" customHeight="1">
      <c r="A715" s="13">
        <v>45653.0</v>
      </c>
      <c r="B715" s="2" t="s">
        <v>57</v>
      </c>
      <c r="C715" s="2" t="str">
        <f t="shared" si="3"/>
        <v>Guadalajara</v>
      </c>
      <c r="D715" s="19" t="s">
        <v>2343</v>
      </c>
      <c r="E715" s="19" t="s">
        <v>2360</v>
      </c>
      <c r="F715" s="19" t="s">
        <v>2345</v>
      </c>
      <c r="G715" s="20">
        <v>1191.71</v>
      </c>
      <c r="H715" s="5">
        <v>4.0</v>
      </c>
      <c r="I715" s="20">
        <v>4766.84</v>
      </c>
      <c r="J715" s="2" t="s">
        <v>2215</v>
      </c>
      <c r="K715" s="2" t="s">
        <v>2216</v>
      </c>
      <c r="L715" s="2" t="s">
        <v>2217</v>
      </c>
    </row>
    <row r="716" ht="15.75" customHeight="1">
      <c r="A716" s="13">
        <v>45653.0</v>
      </c>
      <c r="B716" s="3" t="s">
        <v>9</v>
      </c>
      <c r="C716" s="2" t="str">
        <f t="shared" si="3"/>
        <v>Monterrey</v>
      </c>
      <c r="D716" s="19" t="s">
        <v>2351</v>
      </c>
      <c r="E716" s="19" t="s">
        <v>2352</v>
      </c>
      <c r="F716" s="19" t="s">
        <v>2346</v>
      </c>
      <c r="G716" s="20">
        <v>314.84</v>
      </c>
      <c r="H716" s="5">
        <v>1.0</v>
      </c>
      <c r="I716" s="20">
        <v>314.84</v>
      </c>
      <c r="J716" s="2" t="s">
        <v>2218</v>
      </c>
      <c r="K716" s="2" t="s">
        <v>2219</v>
      </c>
      <c r="L716" s="7" t="s">
        <v>2220</v>
      </c>
    </row>
    <row r="717" ht="15.75" customHeight="1">
      <c r="A717" s="13">
        <v>45654.0</v>
      </c>
      <c r="B717" s="3" t="s">
        <v>9</v>
      </c>
      <c r="C717" s="2" t="str">
        <f t="shared" si="3"/>
        <v>Monterrey</v>
      </c>
      <c r="D717" s="19" t="s">
        <v>2343</v>
      </c>
      <c r="E717" s="19" t="s">
        <v>2353</v>
      </c>
      <c r="F717" s="19" t="s">
        <v>2346</v>
      </c>
      <c r="G717" s="20">
        <v>1724.31</v>
      </c>
      <c r="H717" s="5">
        <v>2.0</v>
      </c>
      <c r="I717" s="20">
        <v>3448.62</v>
      </c>
      <c r="J717" s="2" t="s">
        <v>2221</v>
      </c>
      <c r="K717" s="2" t="s">
        <v>2222</v>
      </c>
      <c r="L717" s="2" t="s">
        <v>2223</v>
      </c>
    </row>
    <row r="718" ht="15.75" customHeight="1">
      <c r="A718" s="13">
        <v>45654.0</v>
      </c>
      <c r="B718" s="3" t="s">
        <v>9</v>
      </c>
      <c r="C718" s="2" t="str">
        <f t="shared" si="3"/>
        <v>Monterrey</v>
      </c>
      <c r="D718" s="19" t="s">
        <v>2351</v>
      </c>
      <c r="E718" s="19" t="s">
        <v>2354</v>
      </c>
      <c r="F718" s="19" t="s">
        <v>2350</v>
      </c>
      <c r="G718" s="20">
        <v>372.92</v>
      </c>
      <c r="H718" s="5">
        <v>3.0</v>
      </c>
      <c r="I718" s="20">
        <v>1118.76</v>
      </c>
      <c r="J718" s="2" t="s">
        <v>2224</v>
      </c>
      <c r="K718" s="2" t="s">
        <v>2225</v>
      </c>
      <c r="L718" s="2" t="s">
        <v>2226</v>
      </c>
    </row>
    <row r="719" ht="15.75" customHeight="1">
      <c r="A719" s="13">
        <v>45654.0</v>
      </c>
      <c r="B719" s="3" t="s">
        <v>9</v>
      </c>
      <c r="C719" s="2" t="str">
        <f t="shared" si="3"/>
        <v>Monterrey</v>
      </c>
      <c r="D719" s="19" t="s">
        <v>2343</v>
      </c>
      <c r="E719" s="19" t="s">
        <v>2344</v>
      </c>
      <c r="F719" s="19" t="s">
        <v>2346</v>
      </c>
      <c r="G719" s="20">
        <v>589.92</v>
      </c>
      <c r="H719" s="5">
        <v>3.0</v>
      </c>
      <c r="I719" s="20">
        <v>1769.76</v>
      </c>
      <c r="J719" s="2" t="s">
        <v>2227</v>
      </c>
      <c r="K719" s="2" t="s">
        <v>2228</v>
      </c>
      <c r="L719" s="2" t="s">
        <v>2229</v>
      </c>
    </row>
    <row r="720" ht="15.75" customHeight="1">
      <c r="A720" s="13">
        <v>45654.0</v>
      </c>
      <c r="B720" s="3" t="s">
        <v>74</v>
      </c>
      <c r="C720" s="2" t="str">
        <f t="shared" si="3"/>
        <v>Cali</v>
      </c>
      <c r="D720" s="19" t="s">
        <v>2351</v>
      </c>
      <c r="E720" s="19" t="s">
        <v>2352</v>
      </c>
      <c r="F720" s="19" t="s">
        <v>2345</v>
      </c>
      <c r="G720" s="20">
        <v>702.77</v>
      </c>
      <c r="H720" s="5">
        <v>3.0</v>
      </c>
      <c r="I720" s="20">
        <v>2108.31</v>
      </c>
      <c r="J720" s="2" t="s">
        <v>2230</v>
      </c>
      <c r="K720" s="2" t="s">
        <v>2231</v>
      </c>
      <c r="L720" s="2" t="s">
        <v>2232</v>
      </c>
    </row>
    <row r="721" ht="15.75" customHeight="1">
      <c r="A721" s="13">
        <v>45654.0</v>
      </c>
      <c r="B721" s="3" t="s">
        <v>29</v>
      </c>
      <c r="C721" s="2" t="str">
        <f t="shared" si="3"/>
        <v>Ciudad De Mexico</v>
      </c>
      <c r="D721" s="19" t="s">
        <v>2351</v>
      </c>
      <c r="E721" s="19" t="s">
        <v>2352</v>
      </c>
      <c r="F721" s="19" t="s">
        <v>2342</v>
      </c>
      <c r="G721" s="20">
        <v>2261.12</v>
      </c>
      <c r="H721" s="5">
        <v>4.0</v>
      </c>
      <c r="I721" s="20">
        <v>9044.48</v>
      </c>
      <c r="J721" s="2" t="s">
        <v>2233</v>
      </c>
      <c r="K721" s="2" t="s">
        <v>2234</v>
      </c>
      <c r="L721" s="2" t="s">
        <v>2235</v>
      </c>
    </row>
    <row r="722" ht="15.75" customHeight="1">
      <c r="A722" s="13">
        <v>45654.0</v>
      </c>
      <c r="B722" s="3" t="s">
        <v>9</v>
      </c>
      <c r="C722" s="2" t="str">
        <f t="shared" si="3"/>
        <v>Monterrey</v>
      </c>
      <c r="D722" s="19" t="s">
        <v>2343</v>
      </c>
      <c r="E722" s="19" t="s">
        <v>2344</v>
      </c>
      <c r="F722" s="19" t="s">
        <v>2346</v>
      </c>
      <c r="G722" s="20">
        <v>1577.5</v>
      </c>
      <c r="H722" s="5">
        <v>4.0</v>
      </c>
      <c r="I722" s="20">
        <v>6310.0</v>
      </c>
      <c r="J722" s="2" t="s">
        <v>2236</v>
      </c>
      <c r="K722" s="2" t="s">
        <v>2237</v>
      </c>
      <c r="L722" s="2" t="s">
        <v>2238</v>
      </c>
    </row>
    <row r="723" ht="15.75" customHeight="1">
      <c r="A723" s="13">
        <v>45654.0</v>
      </c>
      <c r="B723" s="2" t="s">
        <v>34</v>
      </c>
      <c r="C723" s="2" t="str">
        <f t="shared" si="3"/>
        <v>Medellín</v>
      </c>
      <c r="D723" s="19" t="s">
        <v>2347</v>
      </c>
      <c r="E723" s="19" t="s">
        <v>2358</v>
      </c>
      <c r="F723" s="19" t="s">
        <v>2350</v>
      </c>
      <c r="G723" s="20">
        <v>211.08</v>
      </c>
      <c r="H723" s="5">
        <v>4.0</v>
      </c>
      <c r="I723" s="20">
        <v>844.32</v>
      </c>
      <c r="J723" s="2" t="s">
        <v>2239</v>
      </c>
      <c r="K723" s="2" t="s">
        <v>2240</v>
      </c>
      <c r="L723" s="2" t="s">
        <v>2241</v>
      </c>
    </row>
    <row r="724" ht="15.75" customHeight="1">
      <c r="A724" s="13">
        <v>45654.0</v>
      </c>
      <c r="B724" s="3" t="s">
        <v>29</v>
      </c>
      <c r="C724" s="2" t="str">
        <f t="shared" si="3"/>
        <v>Ciudad De Mexico</v>
      </c>
      <c r="D724" s="19" t="s">
        <v>2351</v>
      </c>
      <c r="E724" s="19" t="s">
        <v>2354</v>
      </c>
      <c r="F724" s="19" t="s">
        <v>2345</v>
      </c>
      <c r="G724" s="20">
        <v>1061.9</v>
      </c>
      <c r="H724" s="5">
        <v>4.0</v>
      </c>
      <c r="I724" s="20">
        <v>4247.6</v>
      </c>
      <c r="J724" s="2" t="s">
        <v>2242</v>
      </c>
      <c r="K724" s="2" t="s">
        <v>2243</v>
      </c>
      <c r="L724" s="2" t="s">
        <v>2244</v>
      </c>
    </row>
    <row r="725" ht="15.75" customHeight="1">
      <c r="A725" s="13">
        <v>45654.0</v>
      </c>
      <c r="B725" s="3" t="s">
        <v>29</v>
      </c>
      <c r="C725" s="2" t="str">
        <f t="shared" si="3"/>
        <v>Ciudad De Mexico</v>
      </c>
      <c r="D725" s="19" t="s">
        <v>2340</v>
      </c>
      <c r="E725" s="19" t="s">
        <v>2341</v>
      </c>
      <c r="F725" s="19" t="s">
        <v>2345</v>
      </c>
      <c r="G725" s="20">
        <v>1152.78</v>
      </c>
      <c r="H725" s="5">
        <v>4.0</v>
      </c>
      <c r="I725" s="20">
        <v>4611.12</v>
      </c>
      <c r="J725" s="2" t="s">
        <v>2245</v>
      </c>
      <c r="K725" s="2" t="s">
        <v>2246</v>
      </c>
      <c r="L725" s="2" t="s">
        <v>2247</v>
      </c>
    </row>
    <row r="726" ht="15.75" customHeight="1">
      <c r="A726" s="13">
        <v>45654.0</v>
      </c>
      <c r="B726" s="3" t="s">
        <v>14</v>
      </c>
      <c r="C726" s="2" t="str">
        <f t="shared" si="3"/>
        <v>Bogotá</v>
      </c>
      <c r="D726" s="19" t="s">
        <v>2347</v>
      </c>
      <c r="E726" s="19" t="s">
        <v>2358</v>
      </c>
      <c r="F726" s="19" t="s">
        <v>2342</v>
      </c>
      <c r="G726" s="20">
        <v>1793.94</v>
      </c>
      <c r="H726" s="5">
        <v>3.0</v>
      </c>
      <c r="I726" s="20">
        <v>5381.82</v>
      </c>
      <c r="J726" s="2" t="s">
        <v>2248</v>
      </c>
      <c r="K726" s="2" t="s">
        <v>2249</v>
      </c>
      <c r="L726" s="2" t="s">
        <v>2250</v>
      </c>
    </row>
    <row r="727" ht="15.75" customHeight="1">
      <c r="A727" s="13">
        <v>45654.0</v>
      </c>
      <c r="B727" s="2" t="s">
        <v>57</v>
      </c>
      <c r="C727" s="2" t="str">
        <f t="shared" si="3"/>
        <v>Guadalajara</v>
      </c>
      <c r="D727" s="19" t="s">
        <v>2340</v>
      </c>
      <c r="E727" s="19" t="s">
        <v>2355</v>
      </c>
      <c r="F727" s="19" t="s">
        <v>2342</v>
      </c>
      <c r="G727" s="20">
        <v>2144.75</v>
      </c>
      <c r="H727" s="5">
        <v>1.0</v>
      </c>
      <c r="I727" s="20">
        <v>2144.75</v>
      </c>
      <c r="J727" s="2" t="s">
        <v>2251</v>
      </c>
      <c r="K727" s="2" t="s">
        <v>2252</v>
      </c>
      <c r="L727" s="2" t="s">
        <v>2253</v>
      </c>
    </row>
    <row r="728" ht="15.75" customHeight="1">
      <c r="A728" s="13">
        <v>45654.0</v>
      </c>
      <c r="B728" s="3" t="s">
        <v>14</v>
      </c>
      <c r="C728" s="2" t="str">
        <f t="shared" si="3"/>
        <v>Bogotá</v>
      </c>
      <c r="D728" s="19" t="s">
        <v>2347</v>
      </c>
      <c r="E728" s="19" t="s">
        <v>2348</v>
      </c>
      <c r="F728" s="19" t="s">
        <v>2346</v>
      </c>
      <c r="G728" s="20">
        <v>1642.37</v>
      </c>
      <c r="H728" s="5">
        <v>3.0</v>
      </c>
      <c r="I728" s="20">
        <v>4927.11</v>
      </c>
      <c r="J728" s="2" t="s">
        <v>2254</v>
      </c>
      <c r="K728" s="2" t="s">
        <v>2255</v>
      </c>
      <c r="L728" s="2" t="s">
        <v>2256</v>
      </c>
    </row>
    <row r="729" ht="15.75" customHeight="1">
      <c r="A729" s="13">
        <v>45654.0</v>
      </c>
      <c r="B729" s="3" t="s">
        <v>29</v>
      </c>
      <c r="C729" s="2" t="str">
        <f t="shared" si="3"/>
        <v>Ciudad De Mexico</v>
      </c>
      <c r="D729" s="19" t="s">
        <v>2340</v>
      </c>
      <c r="E729" s="19" t="s">
        <v>2349</v>
      </c>
      <c r="F729" s="19" t="s">
        <v>2345</v>
      </c>
      <c r="G729" s="20">
        <v>158.82</v>
      </c>
      <c r="H729" s="5">
        <v>2.0</v>
      </c>
      <c r="I729" s="20">
        <v>317.64</v>
      </c>
      <c r="J729" s="2" t="s">
        <v>2257</v>
      </c>
      <c r="K729" s="2" t="s">
        <v>2258</v>
      </c>
      <c r="L729" s="2" t="s">
        <v>2259</v>
      </c>
    </row>
    <row r="730" ht="15.75" customHeight="1">
      <c r="A730" s="13">
        <v>45654.0</v>
      </c>
      <c r="B730" s="2" t="s">
        <v>57</v>
      </c>
      <c r="C730" s="2" t="str">
        <f t="shared" si="3"/>
        <v>Guadalajara</v>
      </c>
      <c r="D730" s="19" t="s">
        <v>2343</v>
      </c>
      <c r="E730" s="19" t="s">
        <v>2353</v>
      </c>
      <c r="F730" s="19" t="s">
        <v>2345</v>
      </c>
      <c r="G730" s="20">
        <v>1088.66</v>
      </c>
      <c r="H730" s="5">
        <v>4.0</v>
      </c>
      <c r="I730" s="20">
        <v>4354.64</v>
      </c>
      <c r="J730" s="2" t="s">
        <v>2260</v>
      </c>
      <c r="K730" s="2" t="s">
        <v>2261</v>
      </c>
      <c r="L730" s="2" t="s">
        <v>2262</v>
      </c>
    </row>
    <row r="731" ht="15.75" customHeight="1">
      <c r="A731" s="13">
        <v>45655.0</v>
      </c>
      <c r="B731" s="3" t="s">
        <v>9</v>
      </c>
      <c r="C731" s="2" t="str">
        <f t="shared" si="3"/>
        <v>Monterrey</v>
      </c>
      <c r="D731" s="19" t="s">
        <v>2340</v>
      </c>
      <c r="E731" s="19" t="s">
        <v>2341</v>
      </c>
      <c r="F731" s="19" t="s">
        <v>2350</v>
      </c>
      <c r="G731" s="20">
        <v>1456.46</v>
      </c>
      <c r="H731" s="5">
        <v>4.0</v>
      </c>
      <c r="I731" s="20">
        <v>5825.84</v>
      </c>
      <c r="J731" s="2" t="s">
        <v>2263</v>
      </c>
      <c r="K731" s="2" t="s">
        <v>2264</v>
      </c>
      <c r="L731" s="2" t="s">
        <v>2265</v>
      </c>
    </row>
    <row r="732" ht="15.75" customHeight="1">
      <c r="A732" s="13">
        <v>45655.0</v>
      </c>
      <c r="B732" s="2" t="s">
        <v>57</v>
      </c>
      <c r="C732" s="2" t="str">
        <f t="shared" si="3"/>
        <v>Guadalajara</v>
      </c>
      <c r="D732" s="19" t="s">
        <v>2351</v>
      </c>
      <c r="E732" s="19" t="s">
        <v>2352</v>
      </c>
      <c r="F732" s="19" t="s">
        <v>2346</v>
      </c>
      <c r="G732" s="20">
        <v>2209.08</v>
      </c>
      <c r="H732" s="5">
        <v>2.0</v>
      </c>
      <c r="I732" s="20">
        <v>4418.16</v>
      </c>
      <c r="J732" s="2" t="s">
        <v>2266</v>
      </c>
      <c r="K732" s="2" t="s">
        <v>2267</v>
      </c>
      <c r="L732" s="7" t="s">
        <v>2268</v>
      </c>
    </row>
    <row r="733" ht="15.75" customHeight="1">
      <c r="A733" s="13">
        <v>45655.0</v>
      </c>
      <c r="B733" s="3" t="s">
        <v>14</v>
      </c>
      <c r="C733" s="2" t="str">
        <f t="shared" si="3"/>
        <v>Bogotá</v>
      </c>
      <c r="D733" s="19" t="s">
        <v>2347</v>
      </c>
      <c r="E733" s="19" t="s">
        <v>2358</v>
      </c>
      <c r="F733" s="19" t="s">
        <v>2350</v>
      </c>
      <c r="G733" s="20">
        <v>401.92</v>
      </c>
      <c r="H733" s="5">
        <v>3.0</v>
      </c>
      <c r="I733" s="20">
        <v>1205.76</v>
      </c>
      <c r="J733" s="2" t="s">
        <v>2269</v>
      </c>
      <c r="K733" s="2" t="s">
        <v>2270</v>
      </c>
      <c r="L733" s="2" t="s">
        <v>2271</v>
      </c>
    </row>
    <row r="734" ht="15.75" customHeight="1">
      <c r="A734" s="13">
        <v>45655.0</v>
      </c>
      <c r="B734" s="3" t="s">
        <v>14</v>
      </c>
      <c r="C734" s="2" t="str">
        <f t="shared" si="3"/>
        <v>Bogotá</v>
      </c>
      <c r="D734" s="22" t="s">
        <v>2347</v>
      </c>
      <c r="E734" s="19" t="s">
        <v>2356</v>
      </c>
      <c r="F734" s="19" t="s">
        <v>2342</v>
      </c>
      <c r="G734" s="20">
        <v>989.79</v>
      </c>
      <c r="H734" s="5">
        <v>5.0</v>
      </c>
      <c r="I734" s="20">
        <v>4948.95</v>
      </c>
      <c r="J734" s="2" t="s">
        <v>2272</v>
      </c>
      <c r="K734" s="2" t="s">
        <v>2273</v>
      </c>
      <c r="L734" s="2" t="s">
        <v>2274</v>
      </c>
    </row>
    <row r="735" ht="15.75" customHeight="1">
      <c r="A735" s="13">
        <v>45655.0</v>
      </c>
      <c r="B735" s="3" t="s">
        <v>14</v>
      </c>
      <c r="C735" s="2" t="str">
        <f t="shared" si="3"/>
        <v>Bogotá</v>
      </c>
      <c r="D735" s="19" t="s">
        <v>2347</v>
      </c>
      <c r="E735" s="19" t="s">
        <v>2348</v>
      </c>
      <c r="F735" s="19" t="s">
        <v>2350</v>
      </c>
      <c r="G735" s="20">
        <v>173.98</v>
      </c>
      <c r="H735" s="5">
        <v>4.0</v>
      </c>
      <c r="I735" s="20">
        <v>695.92</v>
      </c>
      <c r="J735" s="2" t="s">
        <v>2275</v>
      </c>
      <c r="K735" s="2" t="s">
        <v>2276</v>
      </c>
      <c r="L735" s="2" t="s">
        <v>2277</v>
      </c>
    </row>
    <row r="736" ht="15.75" customHeight="1">
      <c r="A736" s="13">
        <v>45655.0</v>
      </c>
      <c r="B736" s="2" t="s">
        <v>57</v>
      </c>
      <c r="C736" s="2" t="str">
        <f t="shared" si="3"/>
        <v>Guadalajara</v>
      </c>
      <c r="D736" s="19" t="s">
        <v>2351</v>
      </c>
      <c r="E736" s="19" t="s">
        <v>2354</v>
      </c>
      <c r="F736" s="19" t="s">
        <v>2350</v>
      </c>
      <c r="G736" s="20">
        <v>1006.61</v>
      </c>
      <c r="H736" s="5">
        <v>4.0</v>
      </c>
      <c r="I736" s="20">
        <v>4026.44</v>
      </c>
      <c r="J736" s="2" t="s">
        <v>2278</v>
      </c>
      <c r="K736" s="2" t="s">
        <v>2279</v>
      </c>
      <c r="L736" s="2" t="s">
        <v>2280</v>
      </c>
    </row>
    <row r="737" ht="15.75" customHeight="1">
      <c r="A737" s="13">
        <v>45655.0</v>
      </c>
      <c r="B737" s="3" t="s">
        <v>29</v>
      </c>
      <c r="C737" s="2" t="str">
        <f t="shared" si="3"/>
        <v>Ciudad De Mexico</v>
      </c>
      <c r="D737" s="19" t="s">
        <v>2347</v>
      </c>
      <c r="E737" s="19" t="s">
        <v>2356</v>
      </c>
      <c r="F737" s="19" t="s">
        <v>2346</v>
      </c>
      <c r="G737" s="20">
        <v>2068.09</v>
      </c>
      <c r="H737" s="5">
        <v>2.0</v>
      </c>
      <c r="I737" s="20">
        <v>4136.18</v>
      </c>
      <c r="J737" s="2" t="s">
        <v>2281</v>
      </c>
      <c r="K737" s="2" t="s">
        <v>2282</v>
      </c>
      <c r="L737" s="2" t="s">
        <v>2283</v>
      </c>
    </row>
    <row r="738" ht="15.75" customHeight="1">
      <c r="A738" s="13">
        <v>45655.0</v>
      </c>
      <c r="B738" s="3" t="s">
        <v>29</v>
      </c>
      <c r="C738" s="2" t="str">
        <f t="shared" si="3"/>
        <v>Ciudad De Mexico</v>
      </c>
      <c r="D738" s="19" t="s">
        <v>2343</v>
      </c>
      <c r="E738" s="19" t="s">
        <v>2353</v>
      </c>
      <c r="F738" s="19" t="s">
        <v>2342</v>
      </c>
      <c r="G738" s="20">
        <v>732.27</v>
      </c>
      <c r="H738" s="5">
        <v>4.0</v>
      </c>
      <c r="I738" s="20">
        <v>2929.08</v>
      </c>
      <c r="J738" s="2" t="s">
        <v>2284</v>
      </c>
      <c r="K738" s="2" t="s">
        <v>2285</v>
      </c>
      <c r="L738" s="2" t="s">
        <v>2286</v>
      </c>
    </row>
    <row r="739" ht="15.75" customHeight="1">
      <c r="A739" s="13">
        <v>45655.0</v>
      </c>
      <c r="B739" s="3" t="s">
        <v>9</v>
      </c>
      <c r="C739" s="2" t="str">
        <f t="shared" si="3"/>
        <v>Monterrey</v>
      </c>
      <c r="D739" s="19" t="s">
        <v>2351</v>
      </c>
      <c r="E739" s="19" t="s">
        <v>2352</v>
      </c>
      <c r="F739" s="19" t="s">
        <v>2345</v>
      </c>
      <c r="G739" s="20">
        <v>620.05</v>
      </c>
      <c r="H739" s="5">
        <v>5.0</v>
      </c>
      <c r="I739" s="20">
        <v>3100.25</v>
      </c>
      <c r="J739" s="2" t="s">
        <v>2287</v>
      </c>
      <c r="K739" s="2" t="s">
        <v>2288</v>
      </c>
      <c r="L739" s="2" t="s">
        <v>2289</v>
      </c>
    </row>
    <row r="740" ht="15.75" customHeight="1">
      <c r="A740" s="13">
        <v>45655.0</v>
      </c>
      <c r="B740" s="3" t="s">
        <v>74</v>
      </c>
      <c r="C740" s="2" t="str">
        <f t="shared" si="3"/>
        <v>Cali</v>
      </c>
      <c r="D740" s="22" t="s">
        <v>2347</v>
      </c>
      <c r="E740" s="19" t="s">
        <v>2356</v>
      </c>
      <c r="F740" s="19" t="s">
        <v>2342</v>
      </c>
      <c r="G740" s="20">
        <v>1331.81</v>
      </c>
      <c r="H740" s="5">
        <v>3.0</v>
      </c>
      <c r="I740" s="20">
        <v>3995.43</v>
      </c>
      <c r="J740" s="2" t="s">
        <v>2290</v>
      </c>
      <c r="K740" s="2" t="s">
        <v>2291</v>
      </c>
      <c r="L740" s="2" t="s">
        <v>2292</v>
      </c>
    </row>
    <row r="741" ht="15.75" customHeight="1">
      <c r="A741" s="13">
        <v>45655.0</v>
      </c>
      <c r="B741" s="2" t="s">
        <v>34</v>
      </c>
      <c r="C741" s="2" t="str">
        <f t="shared" si="3"/>
        <v>Medellín</v>
      </c>
      <c r="D741" s="19" t="s">
        <v>2343</v>
      </c>
      <c r="E741" s="19" t="s">
        <v>2344</v>
      </c>
      <c r="F741" s="19" t="s">
        <v>2350</v>
      </c>
      <c r="G741" s="20">
        <v>714.18</v>
      </c>
      <c r="H741" s="5">
        <v>4.0</v>
      </c>
      <c r="I741" s="20">
        <v>2856.72</v>
      </c>
      <c r="J741" s="2" t="s">
        <v>2293</v>
      </c>
      <c r="K741" s="2" t="s">
        <v>2294</v>
      </c>
      <c r="L741" s="2" t="s">
        <v>2295</v>
      </c>
    </row>
    <row r="742" ht="15.75" customHeight="1">
      <c r="A742" s="13">
        <v>45655.0</v>
      </c>
      <c r="B742" s="3" t="s">
        <v>9</v>
      </c>
      <c r="C742" s="2" t="str">
        <f t="shared" si="3"/>
        <v>Monterrey</v>
      </c>
      <c r="D742" s="19" t="s">
        <v>2340</v>
      </c>
      <c r="E742" s="19" t="s">
        <v>2341</v>
      </c>
      <c r="F742" s="19" t="s">
        <v>2342</v>
      </c>
      <c r="G742" s="20">
        <v>792.6</v>
      </c>
      <c r="H742" s="5">
        <v>5.0</v>
      </c>
      <c r="I742" s="20">
        <v>3963.0</v>
      </c>
      <c r="J742" s="2" t="s">
        <v>2296</v>
      </c>
      <c r="K742" s="2" t="s">
        <v>2297</v>
      </c>
      <c r="L742" s="2" t="s">
        <v>2298</v>
      </c>
    </row>
    <row r="743" ht="15.75" customHeight="1">
      <c r="A743" s="13">
        <v>45655.0</v>
      </c>
      <c r="B743" s="3" t="s">
        <v>9</v>
      </c>
      <c r="C743" s="2" t="str">
        <f t="shared" si="3"/>
        <v>Monterrey</v>
      </c>
      <c r="D743" s="19" t="s">
        <v>2343</v>
      </c>
      <c r="E743" s="19" t="s">
        <v>2359</v>
      </c>
      <c r="F743" s="19" t="s">
        <v>2346</v>
      </c>
      <c r="G743" s="20">
        <v>1811.9</v>
      </c>
      <c r="H743" s="5">
        <v>1.0</v>
      </c>
      <c r="I743" s="20">
        <v>1811.9</v>
      </c>
      <c r="J743" s="2" t="s">
        <v>2299</v>
      </c>
      <c r="K743" s="2" t="s">
        <v>2300</v>
      </c>
      <c r="L743" s="2" t="s">
        <v>2301</v>
      </c>
    </row>
    <row r="744" ht="15.75" customHeight="1">
      <c r="A744" s="13">
        <v>45656.0</v>
      </c>
      <c r="B744" s="2" t="s">
        <v>57</v>
      </c>
      <c r="C744" s="2" t="str">
        <f t="shared" si="3"/>
        <v>Guadalajara</v>
      </c>
      <c r="D744" s="19" t="s">
        <v>2340</v>
      </c>
      <c r="E744" s="19" t="s">
        <v>2341</v>
      </c>
      <c r="F744" s="19" t="s">
        <v>2345</v>
      </c>
      <c r="G744" s="20">
        <v>895.6</v>
      </c>
      <c r="H744" s="5">
        <v>3.0</v>
      </c>
      <c r="I744" s="20">
        <v>2686.8</v>
      </c>
      <c r="J744" s="2" t="s">
        <v>2302</v>
      </c>
      <c r="K744" s="2" t="s">
        <v>2303</v>
      </c>
      <c r="L744" s="2" t="s">
        <v>2304</v>
      </c>
    </row>
    <row r="745" ht="15.75" customHeight="1">
      <c r="A745" s="13">
        <v>45656.0</v>
      </c>
      <c r="B745" s="3" t="s">
        <v>74</v>
      </c>
      <c r="C745" s="2" t="str">
        <f t="shared" si="3"/>
        <v>Cali</v>
      </c>
      <c r="D745" s="19" t="s">
        <v>2343</v>
      </c>
      <c r="E745" s="19" t="s">
        <v>2360</v>
      </c>
      <c r="F745" s="19" t="s">
        <v>2345</v>
      </c>
      <c r="G745" s="20">
        <v>2064.92</v>
      </c>
      <c r="H745" s="5">
        <v>3.0</v>
      </c>
      <c r="I745" s="20">
        <v>6194.76</v>
      </c>
      <c r="J745" s="2" t="s">
        <v>2305</v>
      </c>
      <c r="K745" s="2" t="s">
        <v>2306</v>
      </c>
      <c r="L745" s="7" t="s">
        <v>2307</v>
      </c>
    </row>
    <row r="746" ht="15.75" customHeight="1">
      <c r="A746" s="13">
        <v>45656.0</v>
      </c>
      <c r="B746" s="3" t="s">
        <v>9</v>
      </c>
      <c r="C746" s="2" t="str">
        <f t="shared" si="3"/>
        <v>Monterrey</v>
      </c>
      <c r="D746" s="19" t="s">
        <v>2347</v>
      </c>
      <c r="E746" s="19" t="s">
        <v>2348</v>
      </c>
      <c r="F746" s="19" t="s">
        <v>2345</v>
      </c>
      <c r="G746" s="20">
        <v>2149.59</v>
      </c>
      <c r="H746" s="5">
        <v>4.0</v>
      </c>
      <c r="I746" s="20">
        <v>8598.36</v>
      </c>
      <c r="J746" s="2" t="s">
        <v>2308</v>
      </c>
      <c r="K746" s="2" t="s">
        <v>2309</v>
      </c>
      <c r="L746" s="2" t="s">
        <v>2310</v>
      </c>
    </row>
    <row r="747" ht="15.75" customHeight="1">
      <c r="A747" s="13">
        <v>45656.0</v>
      </c>
      <c r="B747" s="2" t="s">
        <v>34</v>
      </c>
      <c r="C747" s="2" t="str">
        <f t="shared" si="3"/>
        <v>Medellín</v>
      </c>
      <c r="D747" s="19" t="s">
        <v>2340</v>
      </c>
      <c r="E747" s="19" t="s">
        <v>2349</v>
      </c>
      <c r="F747" s="19" t="s">
        <v>2350</v>
      </c>
      <c r="G747" s="20">
        <v>619.4</v>
      </c>
      <c r="H747" s="5">
        <v>1.0</v>
      </c>
      <c r="I747" s="20">
        <v>619.4</v>
      </c>
      <c r="J747" s="2" t="s">
        <v>2311</v>
      </c>
      <c r="K747" s="2" t="s">
        <v>2312</v>
      </c>
      <c r="L747" s="2" t="s">
        <v>2313</v>
      </c>
    </row>
    <row r="748" ht="15.75" customHeight="1">
      <c r="A748" s="13">
        <v>45656.0</v>
      </c>
      <c r="B748" s="3" t="s">
        <v>9</v>
      </c>
      <c r="C748" s="2" t="str">
        <f t="shared" si="3"/>
        <v>Monterrey</v>
      </c>
      <c r="D748" s="19" t="s">
        <v>2343</v>
      </c>
      <c r="E748" s="19" t="s">
        <v>2344</v>
      </c>
      <c r="F748" s="19" t="s">
        <v>2342</v>
      </c>
      <c r="G748" s="20">
        <v>2086.06</v>
      </c>
      <c r="H748" s="5">
        <v>1.0</v>
      </c>
      <c r="I748" s="20">
        <v>2086.06</v>
      </c>
      <c r="J748" s="2" t="s">
        <v>2314</v>
      </c>
      <c r="K748" s="2" t="s">
        <v>2315</v>
      </c>
      <c r="L748" s="2" t="s">
        <v>2316</v>
      </c>
    </row>
    <row r="749" ht="15.75" customHeight="1">
      <c r="A749" s="13">
        <v>45656.0</v>
      </c>
      <c r="B749" s="3" t="s">
        <v>9</v>
      </c>
      <c r="C749" s="2" t="str">
        <f t="shared" si="3"/>
        <v>Monterrey</v>
      </c>
      <c r="D749" s="19" t="s">
        <v>2351</v>
      </c>
      <c r="E749" s="19" t="s">
        <v>2352</v>
      </c>
      <c r="F749" s="19" t="s">
        <v>2346</v>
      </c>
      <c r="G749" s="20">
        <v>2019.54</v>
      </c>
      <c r="H749" s="5">
        <v>3.0</v>
      </c>
      <c r="I749" s="20">
        <v>6058.62</v>
      </c>
      <c r="J749" s="2" t="s">
        <v>2317</v>
      </c>
      <c r="K749" s="2" t="s">
        <v>2318</v>
      </c>
      <c r="L749" s="2" t="s">
        <v>2319</v>
      </c>
    </row>
    <row r="750" ht="15.75" customHeight="1">
      <c r="A750" s="13">
        <v>45656.0</v>
      </c>
      <c r="B750" s="2" t="s">
        <v>57</v>
      </c>
      <c r="C750" s="2" t="str">
        <f t="shared" si="3"/>
        <v>Guadalajara</v>
      </c>
      <c r="D750" s="19" t="s">
        <v>2343</v>
      </c>
      <c r="E750" s="19" t="s">
        <v>2344</v>
      </c>
      <c r="F750" s="19" t="s">
        <v>2342</v>
      </c>
      <c r="G750" s="20">
        <v>823.08</v>
      </c>
      <c r="H750" s="5">
        <v>4.0</v>
      </c>
      <c r="I750" s="20">
        <v>3292.32</v>
      </c>
      <c r="J750" s="2" t="s">
        <v>2320</v>
      </c>
      <c r="K750" s="2" t="s">
        <v>2321</v>
      </c>
      <c r="L750" s="2" t="s">
        <v>2322</v>
      </c>
    </row>
    <row r="751" ht="15.75" customHeight="1">
      <c r="A751" s="13">
        <v>45657.0</v>
      </c>
      <c r="B751" s="3" t="s">
        <v>74</v>
      </c>
      <c r="C751" s="2" t="str">
        <f t="shared" si="3"/>
        <v>Cali</v>
      </c>
      <c r="D751" s="19" t="s">
        <v>2351</v>
      </c>
      <c r="E751" s="19" t="s">
        <v>2354</v>
      </c>
      <c r="F751" s="19" t="s">
        <v>2345</v>
      </c>
      <c r="G751" s="20">
        <v>1721.22</v>
      </c>
      <c r="H751" s="5">
        <v>4.0</v>
      </c>
      <c r="I751" s="20">
        <v>6884.88</v>
      </c>
      <c r="J751" s="2" t="s">
        <v>2323</v>
      </c>
      <c r="K751" s="2" t="s">
        <v>2324</v>
      </c>
      <c r="L751" s="2" t="s">
        <v>2325</v>
      </c>
    </row>
    <row r="752" ht="15.75" customHeight="1">
      <c r="A752" s="13">
        <v>45657.0</v>
      </c>
      <c r="B752" s="2" t="s">
        <v>57</v>
      </c>
      <c r="C752" s="2" t="str">
        <f t="shared" si="3"/>
        <v>Guadalajara</v>
      </c>
      <c r="D752" s="19" t="s">
        <v>2343</v>
      </c>
      <c r="E752" s="19" t="s">
        <v>2344</v>
      </c>
      <c r="F752" s="19" t="s">
        <v>2342</v>
      </c>
      <c r="G752" s="20">
        <v>134.89</v>
      </c>
      <c r="H752" s="5">
        <v>5.0</v>
      </c>
      <c r="I752" s="20">
        <v>674.45</v>
      </c>
      <c r="J752" s="2" t="s">
        <v>2326</v>
      </c>
      <c r="K752" s="2" t="s">
        <v>2327</v>
      </c>
      <c r="L752" s="2" t="s">
        <v>2328</v>
      </c>
    </row>
    <row r="753" ht="15.75" customHeight="1">
      <c r="A753" s="13">
        <v>45657.0</v>
      </c>
      <c r="B753" s="3" t="s">
        <v>74</v>
      </c>
      <c r="C753" s="2" t="str">
        <f t="shared" si="3"/>
        <v>Cali</v>
      </c>
      <c r="D753" s="19" t="s">
        <v>2347</v>
      </c>
      <c r="E753" s="19" t="s">
        <v>2348</v>
      </c>
      <c r="F753" s="19" t="s">
        <v>2350</v>
      </c>
      <c r="G753" s="20">
        <v>1545.28</v>
      </c>
      <c r="H753" s="5">
        <v>2.0</v>
      </c>
      <c r="I753" s="20">
        <v>3090.56</v>
      </c>
      <c r="J753" s="2" t="s">
        <v>2329</v>
      </c>
      <c r="K753" s="2" t="s">
        <v>2330</v>
      </c>
      <c r="L753" s="2" t="s">
        <v>2331</v>
      </c>
    </row>
    <row r="754" ht="15.75" customHeight="1">
      <c r="A754" s="13">
        <v>45657.0</v>
      </c>
      <c r="B754" s="2" t="s">
        <v>57</v>
      </c>
      <c r="C754" s="2" t="str">
        <f t="shared" si="3"/>
        <v>Guadalajara</v>
      </c>
      <c r="D754" s="19" t="s">
        <v>2347</v>
      </c>
      <c r="E754" s="19" t="s">
        <v>2348</v>
      </c>
      <c r="F754" s="19" t="s">
        <v>2345</v>
      </c>
      <c r="G754" s="20">
        <v>807.96</v>
      </c>
      <c r="H754" s="5">
        <v>2.0</v>
      </c>
      <c r="I754" s="20">
        <v>1615.92</v>
      </c>
      <c r="J754" s="2" t="s">
        <v>2332</v>
      </c>
      <c r="K754" s="2" t="s">
        <v>2333</v>
      </c>
      <c r="L754" s="2" t="s">
        <v>2334</v>
      </c>
    </row>
  </sheetData>
  <autoFilter ref="$A$1:$L$75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1.22" defaultRowHeight="15.0"/>
  <cols>
    <col customWidth="1" min="1" max="1" width="34.67"/>
    <col customWidth="1" min="2" max="2" width="16.56"/>
  </cols>
  <sheetData>
    <row r="1" ht="27.0" customHeight="1">
      <c r="A1" s="23" t="s">
        <v>2361</v>
      </c>
      <c r="B1" s="23" t="s">
        <v>2362</v>
      </c>
    </row>
    <row r="2" ht="27.0" customHeight="1">
      <c r="A2" s="24" t="s">
        <v>2363</v>
      </c>
      <c r="B2" s="25">
        <f>SUM(Datos_Limpios!I2:I754)</f>
        <v>2944620.61</v>
      </c>
    </row>
    <row r="3" ht="27.0" customHeight="1">
      <c r="A3" s="24" t="s">
        <v>2364</v>
      </c>
      <c r="B3" s="25">
        <f>AVERAGE(Datos_Limpios!I2:I754)</f>
        <v>3910.518738</v>
      </c>
    </row>
    <row r="4" ht="27.0" customHeight="1">
      <c r="A4" s="24" t="s">
        <v>2365</v>
      </c>
      <c r="B4" s="24">
        <f>COUNT(Datos_Limpios!I2:I754)</f>
        <v>753</v>
      </c>
    </row>
    <row r="5" ht="27.0" customHeight="1">
      <c r="A5" s="24" t="s">
        <v>2366</v>
      </c>
      <c r="B5" s="26" t="s">
        <v>2367</v>
      </c>
    </row>
    <row r="6" ht="27.0" customHeight="1">
      <c r="A6" s="24" t="s">
        <v>2368</v>
      </c>
      <c r="B6" s="26" t="s">
        <v>9</v>
      </c>
    </row>
    <row r="7" ht="27.0" customHeight="1">
      <c r="A7" s="24" t="s">
        <v>2369</v>
      </c>
      <c r="B7" s="26" t="s">
        <v>2370</v>
      </c>
    </row>
    <row r="8" ht="27.0" customHeight="1">
      <c r="A8" s="24" t="s">
        <v>2371</v>
      </c>
      <c r="B8" s="26" t="s">
        <v>2372</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1.22" defaultRowHeight="15.0"/>
  <cols>
    <col customWidth="1" min="1"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1.22" defaultRowHeight="15.0"/>
  <cols>
    <col customWidth="1" min="1" max="1" width="62.78"/>
    <col customWidth="1" min="2" max="2" width="41.44"/>
  </cols>
  <sheetData>
    <row r="1" ht="21.75" customHeight="1">
      <c r="A1" s="27" t="s">
        <v>2373</v>
      </c>
      <c r="B1" s="28"/>
    </row>
    <row r="2" ht="21.75" customHeight="1">
      <c r="A2" s="23" t="s">
        <v>2336</v>
      </c>
      <c r="B2" s="23" t="s">
        <v>2362</v>
      </c>
    </row>
    <row r="3" ht="21.75" customHeight="1">
      <c r="A3" s="23" t="s">
        <v>2374</v>
      </c>
      <c r="B3" s="24"/>
    </row>
    <row r="4" ht="21.75" customHeight="1">
      <c r="A4" s="24" t="s">
        <v>2375</v>
      </c>
      <c r="B4" s="26">
        <v>0.0</v>
      </c>
    </row>
    <row r="5" ht="21.75" customHeight="1">
      <c r="A5" s="24" t="s">
        <v>2376</v>
      </c>
      <c r="B5" s="26" t="s">
        <v>2377</v>
      </c>
    </row>
    <row r="6" ht="21.75" customHeight="1">
      <c r="A6" s="23" t="s">
        <v>2378</v>
      </c>
      <c r="B6" s="24"/>
    </row>
    <row r="7" ht="21.75" customHeight="1">
      <c r="A7" s="24" t="s">
        <v>2379</v>
      </c>
      <c r="B7" s="26" t="s">
        <v>2380</v>
      </c>
    </row>
    <row r="8" ht="21.75" customHeight="1">
      <c r="A8" s="24" t="s">
        <v>2381</v>
      </c>
      <c r="B8" s="26" t="s">
        <v>2382</v>
      </c>
    </row>
    <row r="9" ht="21.75" customHeight="1">
      <c r="A9" s="24" t="s">
        <v>2371</v>
      </c>
      <c r="B9" s="26" t="s">
        <v>2372</v>
      </c>
    </row>
    <row r="10" ht="21.75" customHeight="1">
      <c r="A10" s="24" t="s">
        <v>2383</v>
      </c>
      <c r="B10" s="26" t="s">
        <v>2384</v>
      </c>
    </row>
    <row r="11" ht="21.75" customHeight="1">
      <c r="A11" s="23" t="s">
        <v>2385</v>
      </c>
      <c r="B11" s="24"/>
    </row>
    <row r="12" ht="21.75" customHeight="1">
      <c r="A12" s="24" t="s">
        <v>2386</v>
      </c>
      <c r="B12" s="26" t="s">
        <v>2387</v>
      </c>
    </row>
    <row r="13" ht="21.75" customHeight="1">
      <c r="A13" s="23" t="s">
        <v>2388</v>
      </c>
      <c r="B13" s="24"/>
    </row>
    <row r="14" ht="21.75" customHeight="1">
      <c r="A14" s="24" t="s">
        <v>2389</v>
      </c>
      <c r="B14" s="26" t="s">
        <v>2390</v>
      </c>
    </row>
  </sheetData>
  <mergeCells count="1">
    <mergeCell ref="A1:B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3" max="3" width="28.89"/>
  </cols>
  <sheetData>
    <row r="1"/>
    <row r="2"/>
    <row r="3"/>
    <row r="4"/>
    <row r="5"/>
    <row r="6"/>
    <row r="10">
      <c r="C10" s="29" t="s">
        <v>2393</v>
      </c>
    </row>
    <row r="11">
      <c r="C11" s="30"/>
    </row>
    <row r="15">
      <c r="C15" s="29" t="s">
        <v>2394</v>
      </c>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15.44"/>
    <col customWidth="1" min="3" max="3" width="22.89"/>
    <col customWidth="1" min="6" max="6" width="25.33"/>
  </cols>
  <sheetData>
    <row r="1"/>
    <row r="2"/>
    <row r="3">
      <c r="C3" s="32"/>
    </row>
    <row r="4"/>
    <row r="5"/>
    <row r="6"/>
    <row r="7"/>
    <row r="8">
      <c r="C8" s="32">
        <f>B8/B2</f>
        <v>0.1005192656</v>
      </c>
    </row>
    <row r="9"/>
    <row r="12">
      <c r="B12" s="29"/>
      <c r="C12" s="29"/>
    </row>
    <row r="13">
      <c r="A13" s="33"/>
      <c r="B13" s="29"/>
    </row>
    <row r="14">
      <c r="A14" s="29"/>
      <c r="B14" s="29"/>
      <c r="C14" s="29"/>
    </row>
    <row r="15">
      <c r="A15" s="29"/>
      <c r="B15" s="29"/>
      <c r="C15" s="29"/>
    </row>
    <row r="16">
      <c r="A16" s="29"/>
      <c r="B16" s="29"/>
      <c r="C16" s="29"/>
    </row>
    <row r="17">
      <c r="A17" s="29"/>
      <c r="B17" s="29"/>
      <c r="C17" s="29"/>
    </row>
    <row r="18">
      <c r="A18" s="29"/>
      <c r="B18" s="29"/>
      <c r="C18" s="29"/>
    </row>
    <row r="19">
      <c r="A19" s="29"/>
      <c r="B19" s="29"/>
      <c r="C19" s="29"/>
    </row>
    <row r="20">
      <c r="A20" s="29"/>
      <c r="B20" s="29"/>
      <c r="C20" s="29"/>
    </row>
    <row r="21">
      <c r="A21" s="29"/>
      <c r="B21" s="29"/>
      <c r="C21" s="34" t="s">
        <v>2400</v>
      </c>
    </row>
    <row r="22">
      <c r="A22" s="29"/>
      <c r="B22" s="29"/>
      <c r="C22" s="35" t="s">
        <v>2401</v>
      </c>
    </row>
    <row r="23">
      <c r="A23" s="29"/>
      <c r="B23" s="29"/>
      <c r="C23" s="29"/>
    </row>
    <row r="25">
      <c r="F25" s="35" t="s">
        <v>2402</v>
      </c>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4" max="4" width="22.22"/>
  </cols>
  <sheetData>
    <row r="1"/>
    <row r="2"/>
    <row r="3"/>
    <row r="4"/>
    <row r="5"/>
    <row r="8">
      <c r="D8" s="29" t="s">
        <v>2407</v>
      </c>
    </row>
    <row r="12">
      <c r="D12" s="29" t="s">
        <v>2408</v>
      </c>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4" max="4" width="25.89"/>
  </cols>
  <sheetData>
    <row r="1"/>
    <row r="2"/>
    <row r="3"/>
    <row r="4"/>
    <row r="5"/>
    <row r="6"/>
    <row r="7">
      <c r="D7" s="29" t="s">
        <v>2410</v>
      </c>
    </row>
    <row r="9">
      <c r="D9" s="29" t="s">
        <v>2411</v>
      </c>
    </row>
    <row r="10">
      <c r="D10" s="37"/>
    </row>
  </sheetData>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2025-08-01T14:52:14Z</dcterms:created>
  <dc:creator>pablitopol.pp@gmail.com</dc:creator>
</cp:coreProperties>
</file>